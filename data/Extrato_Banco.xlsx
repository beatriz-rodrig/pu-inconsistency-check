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oTengandeSanta\Downloads\Carteiras\"/>
    </mc:Choice>
  </mc:AlternateContent>
  <xr:revisionPtr revIDLastSave="0" documentId="13_ncr:1_{A138F244-B851-4203-8484-089096E9FC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6" i="1" l="1"/>
  <c r="AV27" i="1" s="1"/>
</calcChain>
</file>

<file path=xl/sharedStrings.xml><?xml version="1.0" encoding="utf-8"?>
<sst xmlns="http://schemas.openxmlformats.org/spreadsheetml/2006/main" count="616" uniqueCount="152">
  <si>
    <t>Carteira Diária</t>
  </si>
  <si>
    <t>Data de Emissão</t>
  </si>
  <si>
    <t>: 25/11/2024 09:34:21</t>
  </si>
  <si>
    <t>Data da Posição</t>
  </si>
  <si>
    <t>: 21/11/2024</t>
  </si>
  <si>
    <t>Cliente</t>
  </si>
  <si>
    <t>RENDA VARIÁVEL</t>
  </si>
  <si>
    <t xml:space="preserve">BOVESPA </t>
  </si>
  <si>
    <t/>
  </si>
  <si>
    <t>Código</t>
  </si>
  <si>
    <t>Papel</t>
  </si>
  <si>
    <t>Quantidade Disponível</t>
  </si>
  <si>
    <t>Quantidade Bloqueada</t>
  </si>
  <si>
    <t>Quantidade Total</t>
  </si>
  <si>
    <t>Custo Médio c/ Corretagem</t>
  </si>
  <si>
    <t>Cotação</t>
  </si>
  <si>
    <t>Custo Total</t>
  </si>
  <si>
    <t>Resultado</t>
  </si>
  <si>
    <t>Valor de Mercado Bruto</t>
  </si>
  <si>
    <t>IRRF sobre Pos. Própria</t>
  </si>
  <si>
    <t>Valor de Mercado Líquido</t>
  </si>
  <si>
    <t>% S/ RV</t>
  </si>
  <si>
    <t>% S/ Total</t>
  </si>
  <si>
    <t xml:space="preserve">Total BOVESPA </t>
  </si>
  <si>
    <t>Total</t>
  </si>
  <si>
    <t>FUNDOS DE INVESTIMENTO</t>
  </si>
  <si>
    <t>Fundo</t>
  </si>
  <si>
    <t>Instituição</t>
  </si>
  <si>
    <t>Quantidade Cotas</t>
  </si>
  <si>
    <t>Valor Cota</t>
  </si>
  <si>
    <t>Aplic. / Resg.</t>
  </si>
  <si>
    <t>Valor Atual</t>
  </si>
  <si>
    <t>Impostos</t>
  </si>
  <si>
    <t>Valor Líquido</t>
  </si>
  <si>
    <t>% S/ FI</t>
  </si>
  <si>
    <t>RENDA FIXA</t>
  </si>
  <si>
    <t>Aplicação</t>
  </si>
  <si>
    <t>Emitente</t>
  </si>
  <si>
    <t>MTM % AA</t>
  </si>
  <si>
    <t>Tx. Over</t>
  </si>
  <si>
    <t>Taxa % AA</t>
  </si>
  <si>
    <t>Index.</t>
  </si>
  <si>
    <t>Emissão</t>
  </si>
  <si>
    <t>Vcto.</t>
  </si>
  <si>
    <t>Qtd.</t>
  </si>
  <si>
    <t>PU Atual</t>
  </si>
  <si>
    <t>Valor Aplicação</t>
  </si>
  <si>
    <t>Valor Resgate</t>
  </si>
  <si>
    <t>Valor Bruto</t>
  </si>
  <si>
    <t>% S/ RF</t>
  </si>
  <si>
    <t>Negociação</t>
  </si>
  <si>
    <t xml:space="preserve">CRA       </t>
  </si>
  <si>
    <t xml:space="preserve">B426064     </t>
  </si>
  <si>
    <t xml:space="preserve">VERT      </t>
  </si>
  <si>
    <t>395408-CRA</t>
  </si>
  <si>
    <t xml:space="preserve">IPCA            </t>
  </si>
  <si>
    <t xml:space="preserve">Total CRA       </t>
  </si>
  <si>
    <t xml:space="preserve">DBNCI     </t>
  </si>
  <si>
    <t xml:space="preserve">B426067     </t>
  </si>
  <si>
    <t xml:space="preserve">SBSP      </t>
  </si>
  <si>
    <t>395406-SBS</t>
  </si>
  <si>
    <t xml:space="preserve">Total DBNCI     </t>
  </si>
  <si>
    <t xml:space="preserve">DEBNC     </t>
  </si>
  <si>
    <t xml:space="preserve">B522785     </t>
  </si>
  <si>
    <t xml:space="preserve">IFPT      </t>
  </si>
  <si>
    <t>434582-IFP</t>
  </si>
  <si>
    <t xml:space="preserve">B722708     </t>
  </si>
  <si>
    <t xml:space="preserve">KLBN      </t>
  </si>
  <si>
    <t>353017-KLB</t>
  </si>
  <si>
    <t>CDI      D 114.6</t>
  </si>
  <si>
    <t xml:space="preserve">B722846     </t>
  </si>
  <si>
    <t xml:space="preserve">HMLL      </t>
  </si>
  <si>
    <t>439749-RDO</t>
  </si>
  <si>
    <t xml:space="preserve">CDI             </t>
  </si>
  <si>
    <t xml:space="preserve">B730378     </t>
  </si>
  <si>
    <t xml:space="preserve">ITSA      </t>
  </si>
  <si>
    <t>432232-ITS</t>
  </si>
  <si>
    <t xml:space="preserve">B730384     </t>
  </si>
  <si>
    <t xml:space="preserve">B730390     </t>
  </si>
  <si>
    <t xml:space="preserve">B730398     </t>
  </si>
  <si>
    <t xml:space="preserve">B730399     </t>
  </si>
  <si>
    <t xml:space="preserve">B730401     </t>
  </si>
  <si>
    <t xml:space="preserve">B730402     </t>
  </si>
  <si>
    <t xml:space="preserve">B730408     </t>
  </si>
  <si>
    <t xml:space="preserve">B730435     </t>
  </si>
  <si>
    <t xml:space="preserve">B738796     </t>
  </si>
  <si>
    <t xml:space="preserve">ANHB      </t>
  </si>
  <si>
    <t>448952-ANH</t>
  </si>
  <si>
    <t xml:space="preserve">B738798     </t>
  </si>
  <si>
    <t xml:space="preserve">UNIP      </t>
  </si>
  <si>
    <t>359637-UNI</t>
  </si>
  <si>
    <t xml:space="preserve">B738944     </t>
  </si>
  <si>
    <t xml:space="preserve">AES BR    </t>
  </si>
  <si>
    <t>354573-TIE</t>
  </si>
  <si>
    <t xml:space="preserve">B754812     </t>
  </si>
  <si>
    <t xml:space="preserve">B933229     </t>
  </si>
  <si>
    <t xml:space="preserve">CPGT      </t>
  </si>
  <si>
    <t>578163-CPG</t>
  </si>
  <si>
    <t xml:space="preserve">Total DEBNC     </t>
  </si>
  <si>
    <t xml:space="preserve">LF        </t>
  </si>
  <si>
    <t xml:space="preserve">B796862     </t>
  </si>
  <si>
    <t xml:space="preserve">BMGB      </t>
  </si>
  <si>
    <t>538814-LF0</t>
  </si>
  <si>
    <t xml:space="preserve">Total LF        </t>
  </si>
  <si>
    <t xml:space="preserve">LFSC      </t>
  </si>
  <si>
    <t xml:space="preserve">B310591     </t>
  </si>
  <si>
    <t xml:space="preserve">BBDC      </t>
  </si>
  <si>
    <t>344267-LFS</t>
  </si>
  <si>
    <t>SELIC    D 120.0</t>
  </si>
  <si>
    <t xml:space="preserve">B310592     </t>
  </si>
  <si>
    <t>344269-LFS</t>
  </si>
  <si>
    <t xml:space="preserve">B310593     </t>
  </si>
  <si>
    <t>344266-LFS</t>
  </si>
  <si>
    <t xml:space="preserve">B310594     </t>
  </si>
  <si>
    <t>344271-LFS</t>
  </si>
  <si>
    <t xml:space="preserve">Total LFSC      </t>
  </si>
  <si>
    <t xml:space="preserve">LFSN      </t>
  </si>
  <si>
    <t xml:space="preserve">B294235     </t>
  </si>
  <si>
    <t xml:space="preserve">BSAF      </t>
  </si>
  <si>
    <t>341704-N L</t>
  </si>
  <si>
    <t xml:space="preserve">PRE             </t>
  </si>
  <si>
    <t xml:space="preserve">Total LFSN      </t>
  </si>
  <si>
    <t xml:space="preserve">LFT       </t>
  </si>
  <si>
    <t xml:space="preserve">B681632     </t>
  </si>
  <si>
    <t xml:space="preserve">STNC      </t>
  </si>
  <si>
    <t>351287-LFT</t>
  </si>
  <si>
    <t xml:space="preserve">SEL             </t>
  </si>
  <si>
    <t xml:space="preserve">B698642     </t>
  </si>
  <si>
    <t>468652-LFT</t>
  </si>
  <si>
    <t xml:space="preserve">B698992     </t>
  </si>
  <si>
    <t xml:space="preserve">B755875A    </t>
  </si>
  <si>
    <t>456313-LFT</t>
  </si>
  <si>
    <t xml:space="preserve">B827019A    </t>
  </si>
  <si>
    <t xml:space="preserve">Total LFT       </t>
  </si>
  <si>
    <t xml:space="preserve">NTN-B     </t>
  </si>
  <si>
    <t xml:space="preserve">B397651     </t>
  </si>
  <si>
    <t>179417-NTN</t>
  </si>
  <si>
    <t xml:space="preserve">B406046     </t>
  </si>
  <si>
    <t xml:space="preserve">B407573A    </t>
  </si>
  <si>
    <t xml:space="preserve">B492424     </t>
  </si>
  <si>
    <t>179415-NTN</t>
  </si>
  <si>
    <t xml:space="preserve">B583137     </t>
  </si>
  <si>
    <t>89007-NTNB</t>
  </si>
  <si>
    <t xml:space="preserve">B642078A    </t>
  </si>
  <si>
    <t xml:space="preserve">B779828A    </t>
  </si>
  <si>
    <t xml:space="preserve">B839462A    </t>
  </si>
  <si>
    <t xml:space="preserve">B855070A    </t>
  </si>
  <si>
    <t xml:space="preserve">B887716A    </t>
  </si>
  <si>
    <t xml:space="preserve">B940176     </t>
  </si>
  <si>
    <t>318248-NTN</t>
  </si>
  <si>
    <t xml:space="preserve">Total NTN-B     </t>
  </si>
  <si>
    <t>: CUST18460 - Carteira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</si>
</sst>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16]#,##0;\(#,##0\)"/>
    <numFmt numFmtId="165" formatCode="[$-10416]#,##0.00;\(#,##0.00\)"/>
    <numFmt numFmtId="166" formatCode="[$-10416]#,##0.00000000;\(#,##0.00000000\)"/>
    <numFmt numFmtId="167" formatCode="[$-10416]0.00000000;\(0.00000000\)"/>
    <numFmt numFmtId="168" formatCode="[$-10416]dd/mm/yyyy"/>
    <numFmt numFmtId="169" formatCode="[$-10416]#,##0.000000;\(#,##0.000000\)"/>
    <numFmt numFmtId="170" formatCode="[$-10416]#,##0.0000;\(#,##0.00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7"/>
      <color rgb="FF000000"/>
      <name val="Arial"/>
      <family val="2"/>
    </font>
    <font>
      <b/>
      <sz val="6.5"/>
      <color rgb="FF000000"/>
      <name val="Arial"/>
      <family val="2"/>
    </font>
    <font>
      <sz val="6.5"/>
      <color rgb="FF000000"/>
      <name val="Arial"/>
      <family val="2"/>
    </font>
    <font>
      <sz val="6.5"/>
      <color rgb="FFFF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169" fontId="8" fillId="0" borderId="1" xfId="0" applyNumberFormat="1" applyFont="1" applyBorder="1" applyAlignment="1">
      <alignment horizontal="right" vertical="top" wrapText="1" readingOrder="1"/>
    </xf>
    <xf numFmtId="165" fontId="7" fillId="0" borderId="2" xfId="0" applyNumberFormat="1" applyFont="1" applyBorder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1" fillId="0" borderId="0" xfId="0" applyFont="1"/>
    <xf numFmtId="168" fontId="7" fillId="0" borderId="0" xfId="0" applyNumberFormat="1" applyFont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169" fontId="7" fillId="0" borderId="0" xfId="0" applyNumberFormat="1" applyFont="1" applyAlignment="1">
      <alignment horizontal="right" vertical="top" wrapText="1" readingOrder="1"/>
    </xf>
    <xf numFmtId="170" fontId="7" fillId="0" borderId="0" xfId="0" applyNumberFormat="1" applyFont="1" applyAlignment="1">
      <alignment horizontal="right" vertical="top" wrapText="1" readingOrder="1"/>
    </xf>
    <xf numFmtId="166" fontId="7" fillId="0" borderId="0" xfId="0" applyNumberFormat="1" applyFont="1" applyAlignment="1">
      <alignment horizontal="right" vertical="top" wrapText="1" readingOrder="1"/>
    </xf>
    <xf numFmtId="165" fontId="7" fillId="0" borderId="3" xfId="0" applyNumberFormat="1" applyFont="1" applyBorder="1" applyAlignment="1">
      <alignment horizontal="right"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166" fontId="5" fillId="0" borderId="1" xfId="0" applyNumberFormat="1" applyFont="1" applyBorder="1" applyAlignment="1">
      <alignment vertical="top" wrapText="1" readingOrder="1"/>
    </xf>
    <xf numFmtId="165" fontId="5" fillId="0" borderId="0" xfId="0" applyNumberFormat="1" applyFont="1" applyAlignment="1">
      <alignment vertical="top" wrapText="1" readingOrder="1"/>
    </xf>
    <xf numFmtId="167" fontId="5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166" fontId="5" fillId="0" borderId="0" xfId="0" applyNumberFormat="1" applyFont="1" applyAlignment="1">
      <alignment vertical="top" wrapText="1" readingOrder="1"/>
    </xf>
    <xf numFmtId="165" fontId="4" fillId="0" borderId="1" xfId="0" applyNumberFormat="1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0" fontId="4" fillId="0" borderId="3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4" fontId="4" fillId="0" borderId="3" xfId="0" applyNumberFormat="1" applyFont="1" applyBorder="1" applyAlignment="1">
      <alignment horizontal="right" vertical="top" wrapText="1" readingOrder="1"/>
    </xf>
    <xf numFmtId="0" fontId="4" fillId="0" borderId="3" xfId="0" applyFont="1" applyBorder="1" applyAlignment="1">
      <alignment horizontal="right" vertical="top" wrapText="1" readingOrder="1"/>
    </xf>
    <xf numFmtId="165" fontId="4" fillId="0" borderId="3" xfId="0" applyNumberFormat="1" applyFont="1" applyBorder="1" applyAlignment="1">
      <alignment horizontal="right" vertical="top" wrapText="1" readingOrder="1"/>
    </xf>
    <xf numFmtId="165" fontId="5" fillId="0" borderId="0" xfId="0" applyNumberFormat="1" applyFont="1" applyAlignment="1">
      <alignment horizontal="right" vertical="top" wrapText="1" readingOrder="1"/>
    </xf>
    <xf numFmtId="0" fontId="4" fillId="0" borderId="2" xfId="0" applyFont="1" applyBorder="1" applyAlignment="1">
      <alignment horizontal="center" wrapText="1" readingOrder="1"/>
    </xf>
    <xf numFmtId="164" fontId="5" fillId="0" borderId="0" xfId="0" applyNumberFormat="1" applyFont="1" applyAlignment="1">
      <alignment horizontal="right" vertical="top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2" xfId="0" applyFont="1" applyBorder="1" applyAlignment="1">
      <alignment wrapText="1" readingOrder="1"/>
    </xf>
    <xf numFmtId="0" fontId="4" fillId="0" borderId="2" xfId="0" applyFont="1" applyBorder="1" applyAlignment="1">
      <alignment horizontal="right" wrapText="1" readingOrder="1"/>
    </xf>
    <xf numFmtId="0" fontId="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1"/>
  <sheetViews>
    <sheetView showGridLines="0" tabSelected="1" zoomScale="130" zoomScaleNormal="130" workbookViewId="0">
      <pane ySplit="7" topLeftCell="A83" activePane="bottomLeft" state="frozen"/>
      <selection pane="bottomLeft" activeCell="AV89" sqref="AV89:AX89"/>
    </sheetView>
  </sheetViews>
  <sheetFormatPr defaultRowHeight="15" x14ac:dyDescent="0.25"/>
  <cols>
    <col min="1" max="1" width="0.42578125" customWidth="1"/>
    <col min="2" max="2" width="6.7109375" customWidth="1"/>
    <col min="3" max="3" width="1.5703125" customWidth="1"/>
    <col min="4" max="4" width="4.85546875" customWidth="1"/>
    <col min="5" max="5" width="0.7109375" customWidth="1"/>
    <col min="6" max="6" width="1" customWidth="1"/>
    <col min="7" max="7" width="0.5703125" customWidth="1"/>
    <col min="8" max="8" width="6.42578125" customWidth="1"/>
    <col min="9" max="9" width="2.140625" customWidth="1"/>
    <col min="10" max="10" width="2.7109375" customWidth="1"/>
    <col min="11" max="11" width="3.5703125" customWidth="1"/>
    <col min="12" max="12" width="1" customWidth="1"/>
    <col min="13" max="13" width="4.5703125" customWidth="1"/>
    <col min="14" max="14" width="2" customWidth="1"/>
    <col min="15" max="16" width="2.42578125" customWidth="1"/>
    <col min="17" max="17" width="1.5703125" customWidth="1"/>
    <col min="18" max="18" width="0" hidden="1" customWidth="1"/>
    <col min="19" max="19" width="9.42578125" customWidth="1"/>
    <col min="20" max="20" width="0.28515625" customWidth="1"/>
    <col min="21" max="21" width="2.28515625" customWidth="1"/>
    <col min="22" max="22" width="3.28515625" customWidth="1"/>
    <col min="23" max="23" width="3.5703125" customWidth="1"/>
    <col min="24" max="24" width="1.42578125" customWidth="1"/>
    <col min="25" max="25" width="2.42578125" customWidth="1"/>
    <col min="26" max="26" width="3" customWidth="1"/>
    <col min="27" max="27" width="1.85546875" customWidth="1"/>
    <col min="28" max="28" width="3.42578125" customWidth="1"/>
    <col min="29" max="29" width="1.7109375" customWidth="1"/>
    <col min="30" max="30" width="3.140625" customWidth="1"/>
    <col min="31" max="31" width="0.28515625" customWidth="1"/>
    <col min="32" max="32" width="0" hidden="1" customWidth="1"/>
    <col min="33" max="33" width="2.140625" customWidth="1"/>
    <col min="34" max="34" width="3" customWidth="1"/>
    <col min="35" max="35" width="0.42578125" customWidth="1"/>
    <col min="36" max="36" width="7.85546875" customWidth="1"/>
    <col min="37" max="37" width="0.5703125" customWidth="1"/>
    <col min="38" max="38" width="2" customWidth="1"/>
    <col min="39" max="39" width="0.42578125" customWidth="1"/>
    <col min="40" max="40" width="8.28515625" customWidth="1"/>
    <col min="41" max="41" width="0.140625" customWidth="1"/>
    <col min="42" max="42" width="1.28515625" customWidth="1"/>
    <col min="43" max="43" width="0.85546875" customWidth="1"/>
    <col min="44" max="44" width="0" hidden="1" customWidth="1"/>
    <col min="45" max="45" width="5.42578125" customWidth="1"/>
    <col min="46" max="46" width="0.140625" customWidth="1"/>
    <col min="47" max="47" width="1.28515625" customWidth="1"/>
    <col min="48" max="48" width="1.85546875" customWidth="1"/>
    <col min="49" max="49" width="0.5703125" customWidth="1"/>
    <col min="50" max="50" width="7.42578125" customWidth="1"/>
    <col min="51" max="51" width="2.28515625" customWidth="1"/>
    <col min="52" max="52" width="0" hidden="1" customWidth="1"/>
    <col min="53" max="54" width="0.28515625" customWidth="1"/>
    <col min="55" max="55" width="4.7109375" customWidth="1"/>
    <col min="56" max="56" width="3.140625" customWidth="1"/>
    <col min="57" max="57" width="1.5703125" customWidth="1"/>
    <col min="58" max="58" width="1.42578125" customWidth="1"/>
    <col min="59" max="59" width="2.140625" customWidth="1"/>
    <col min="60" max="60" width="0.42578125" customWidth="1"/>
    <col min="61" max="61" width="1" customWidth="1"/>
    <col min="62" max="62" width="3.5703125" customWidth="1"/>
    <col min="63" max="63" width="0.85546875" customWidth="1"/>
    <col min="64" max="64" width="1.42578125" customWidth="1"/>
    <col min="65" max="65" width="6.140625" customWidth="1"/>
    <col min="66" max="66" width="0.28515625" customWidth="1"/>
    <col min="67" max="68" width="0.140625" customWidth="1"/>
    <col min="69" max="69" width="0.42578125" customWidth="1"/>
  </cols>
  <sheetData>
    <row r="1" spans="1:68" ht="17.100000000000001" customHeight="1" x14ac:dyDescent="0.25">
      <c r="A1" s="49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8" ht="11.25" customHeight="1" x14ac:dyDescent="0.25">
      <c r="A2" s="45" t="s">
        <v>1</v>
      </c>
      <c r="B2" s="12"/>
      <c r="C2" s="12"/>
      <c r="D2" s="12"/>
      <c r="E2" s="12"/>
      <c r="F2" s="12"/>
      <c r="H2" s="46" t="s">
        <v>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</row>
    <row r="3" spans="1:68" ht="0.95" customHeight="1" x14ac:dyDescent="0.25"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</row>
    <row r="4" spans="1:68" ht="7.7" customHeight="1" x14ac:dyDescent="0.25">
      <c r="A4" s="45" t="s">
        <v>3</v>
      </c>
      <c r="B4" s="12"/>
      <c r="C4" s="12"/>
      <c r="D4" s="12"/>
      <c r="E4" s="12"/>
      <c r="F4" s="12"/>
      <c r="H4" s="46" t="s">
        <v>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8" x14ac:dyDescent="0.25">
      <c r="A5" s="12"/>
      <c r="B5" s="12"/>
      <c r="C5" s="12"/>
      <c r="D5" s="12"/>
      <c r="E5" s="12"/>
      <c r="F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68" ht="11.25" customHeight="1" x14ac:dyDescent="0.25">
      <c r="A6" s="45" t="s">
        <v>5</v>
      </c>
      <c r="B6" s="12"/>
      <c r="C6" s="12"/>
      <c r="D6" s="12"/>
      <c r="E6" s="12"/>
      <c r="F6" s="12"/>
      <c r="H6" s="46" t="s">
        <v>151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68" ht="14.85" customHeight="1" x14ac:dyDescent="0.25"/>
    <row r="8" spans="1:68" ht="11.45" customHeight="1" x14ac:dyDescent="0.25">
      <c r="A8" s="33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8" ht="11.45" customHeight="1" x14ac:dyDescent="0.25">
      <c r="A9" s="47" t="s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48" t="s">
        <v>8</v>
      </c>
      <c r="N9" s="20"/>
      <c r="O9" s="20"/>
      <c r="P9" s="20"/>
      <c r="Q9" s="48" t="s">
        <v>8</v>
      </c>
      <c r="R9" s="20"/>
      <c r="S9" s="20"/>
      <c r="T9" s="20"/>
      <c r="U9" s="48" t="s">
        <v>8</v>
      </c>
      <c r="V9" s="20"/>
      <c r="W9" s="20"/>
      <c r="X9" s="20"/>
      <c r="Y9" s="48" t="s">
        <v>8</v>
      </c>
      <c r="Z9" s="20"/>
      <c r="AA9" s="20"/>
      <c r="AB9" s="20"/>
      <c r="AC9" s="48" t="s">
        <v>8</v>
      </c>
      <c r="AD9" s="20"/>
      <c r="AE9" s="20"/>
      <c r="AF9" s="20"/>
      <c r="AG9" s="20"/>
      <c r="AH9" s="20"/>
      <c r="AI9" s="20"/>
      <c r="AJ9" s="48" t="s">
        <v>8</v>
      </c>
      <c r="AK9" s="20"/>
      <c r="AL9" s="20"/>
      <c r="AM9" s="20"/>
      <c r="AN9" s="48" t="s">
        <v>8</v>
      </c>
      <c r="AO9" s="20"/>
      <c r="AP9" s="20"/>
      <c r="AQ9" s="48" t="s">
        <v>8</v>
      </c>
      <c r="AR9" s="20"/>
      <c r="AS9" s="20"/>
      <c r="AT9" s="20"/>
      <c r="AU9" s="20"/>
      <c r="AV9" s="20"/>
      <c r="AW9" s="20"/>
      <c r="AX9" s="48" t="s">
        <v>8</v>
      </c>
      <c r="AY9" s="20"/>
      <c r="AZ9" s="48" t="s">
        <v>8</v>
      </c>
      <c r="BA9" s="20"/>
      <c r="BB9" s="20"/>
      <c r="BC9" s="20"/>
      <c r="BD9" s="20"/>
      <c r="BE9" s="20"/>
      <c r="BF9" s="48" t="s">
        <v>8</v>
      </c>
      <c r="BG9" s="20"/>
      <c r="BH9" s="20"/>
      <c r="BI9" s="20"/>
      <c r="BJ9" s="20"/>
      <c r="BK9" s="48" t="s">
        <v>8</v>
      </c>
      <c r="BL9" s="20"/>
      <c r="BM9" s="20"/>
      <c r="BN9" s="20"/>
    </row>
    <row r="10" spans="1:68" ht="11.25" customHeight="1" x14ac:dyDescent="0.25">
      <c r="A10" s="42" t="s">
        <v>9</v>
      </c>
      <c r="B10" s="20"/>
      <c r="C10" s="20"/>
      <c r="D10" s="42" t="s">
        <v>10</v>
      </c>
      <c r="E10" s="20"/>
      <c r="F10" s="20"/>
      <c r="G10" s="20"/>
      <c r="H10" s="20"/>
      <c r="I10" s="20"/>
      <c r="J10" s="20"/>
      <c r="K10" s="20"/>
      <c r="L10" s="20"/>
      <c r="M10" s="42" t="s">
        <v>11</v>
      </c>
      <c r="N10" s="20"/>
      <c r="O10" s="20"/>
      <c r="P10" s="20"/>
      <c r="Q10" s="42" t="s">
        <v>12</v>
      </c>
      <c r="R10" s="20"/>
      <c r="S10" s="20"/>
      <c r="T10" s="20"/>
      <c r="U10" s="42" t="s">
        <v>13</v>
      </c>
      <c r="V10" s="20"/>
      <c r="W10" s="20"/>
      <c r="X10" s="20"/>
      <c r="Y10" s="42" t="s">
        <v>14</v>
      </c>
      <c r="Z10" s="20"/>
      <c r="AA10" s="20"/>
      <c r="AB10" s="20"/>
      <c r="AC10" s="42" t="s">
        <v>15</v>
      </c>
      <c r="AD10" s="20"/>
      <c r="AE10" s="20"/>
      <c r="AF10" s="20"/>
      <c r="AG10" s="20"/>
      <c r="AH10" s="20"/>
      <c r="AI10" s="20"/>
      <c r="AJ10" s="42" t="s">
        <v>16</v>
      </c>
      <c r="AK10" s="20"/>
      <c r="AL10" s="20"/>
      <c r="AM10" s="20"/>
      <c r="AN10" s="42" t="s">
        <v>17</v>
      </c>
      <c r="AO10" s="20"/>
      <c r="AP10" s="20"/>
      <c r="AQ10" s="42" t="s">
        <v>18</v>
      </c>
      <c r="AR10" s="20"/>
      <c r="AS10" s="20"/>
      <c r="AT10" s="20"/>
      <c r="AU10" s="20"/>
      <c r="AV10" s="20"/>
      <c r="AW10" s="20"/>
      <c r="AX10" s="42" t="s">
        <v>19</v>
      </c>
      <c r="AY10" s="20"/>
      <c r="AZ10" s="42" t="s">
        <v>20</v>
      </c>
      <c r="BA10" s="20"/>
      <c r="BB10" s="20"/>
      <c r="BC10" s="20"/>
      <c r="BD10" s="20"/>
      <c r="BE10" s="20"/>
      <c r="BF10" s="42" t="s">
        <v>21</v>
      </c>
      <c r="BG10" s="20"/>
      <c r="BH10" s="20"/>
      <c r="BI10" s="20"/>
      <c r="BJ10" s="20"/>
      <c r="BK10" s="42" t="s">
        <v>22</v>
      </c>
      <c r="BL10" s="20"/>
      <c r="BM10" s="20"/>
      <c r="BN10" s="20"/>
    </row>
    <row r="11" spans="1:68" ht="11.45" customHeight="1" x14ac:dyDescent="0.25">
      <c r="A11" s="30"/>
      <c r="B11" s="12"/>
      <c r="C11" s="12"/>
      <c r="D11" s="30"/>
      <c r="E11" s="12"/>
      <c r="F11" s="12"/>
      <c r="G11" s="12"/>
      <c r="H11" s="12"/>
      <c r="I11" s="12"/>
      <c r="J11" s="12"/>
      <c r="K11" s="12"/>
      <c r="L11" s="12"/>
      <c r="M11" s="43"/>
      <c r="N11" s="12"/>
      <c r="O11" s="12"/>
      <c r="P11" s="12"/>
      <c r="Q11" s="43"/>
      <c r="R11" s="12"/>
      <c r="S11" s="12"/>
      <c r="T11" s="12"/>
      <c r="U11" s="43"/>
      <c r="V11" s="12"/>
      <c r="W11" s="12"/>
      <c r="X11" s="12"/>
      <c r="Y11" s="41"/>
      <c r="Z11" s="12"/>
      <c r="AA11" s="12"/>
      <c r="AB11" s="12"/>
      <c r="AC11" s="41"/>
      <c r="AD11" s="12"/>
      <c r="AE11" s="12"/>
      <c r="AF11" s="12"/>
      <c r="AG11" s="12"/>
      <c r="AH11" s="12"/>
      <c r="AI11" s="12"/>
      <c r="AJ11" s="41"/>
      <c r="AK11" s="12"/>
      <c r="AL11" s="12"/>
      <c r="AM11" s="12"/>
      <c r="AN11" s="44"/>
      <c r="AO11" s="12"/>
      <c r="AP11" s="12"/>
      <c r="AQ11" s="41"/>
      <c r="AR11" s="12"/>
      <c r="AS11" s="12"/>
      <c r="AT11" s="12"/>
      <c r="AU11" s="12"/>
      <c r="AV11" s="12"/>
      <c r="AW11" s="12"/>
      <c r="AX11" s="41"/>
      <c r="AY11" s="12"/>
      <c r="AZ11" s="41"/>
      <c r="BA11" s="12"/>
      <c r="BB11" s="12"/>
      <c r="BC11" s="12"/>
      <c r="BD11" s="12"/>
      <c r="BE11" s="12"/>
      <c r="BF11" s="41"/>
      <c r="BG11" s="12"/>
      <c r="BH11" s="12"/>
      <c r="BI11" s="12"/>
      <c r="BJ11" s="12"/>
      <c r="BK11" s="41"/>
      <c r="BL11" s="12"/>
      <c r="BM11" s="12"/>
      <c r="BN11" s="12"/>
    </row>
    <row r="12" spans="1:68" ht="11.45" customHeight="1" x14ac:dyDescent="0.25">
      <c r="A12" s="36" t="s">
        <v>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>
        <v>0</v>
      </c>
      <c r="N12" s="37"/>
      <c r="O12" s="37"/>
      <c r="P12" s="37"/>
      <c r="Q12" s="38">
        <v>0</v>
      </c>
      <c r="R12" s="37"/>
      <c r="S12" s="37"/>
      <c r="T12" s="37"/>
      <c r="U12" s="38">
        <v>0</v>
      </c>
      <c r="V12" s="37"/>
      <c r="W12" s="37"/>
      <c r="X12" s="37"/>
      <c r="Y12" s="39" t="s">
        <v>8</v>
      </c>
      <c r="Z12" s="37"/>
      <c r="AA12" s="37"/>
      <c r="AB12" s="37"/>
      <c r="AC12" s="39" t="s">
        <v>8</v>
      </c>
      <c r="AD12" s="37"/>
      <c r="AE12" s="37"/>
      <c r="AF12" s="37"/>
      <c r="AG12" s="37"/>
      <c r="AH12" s="37"/>
      <c r="AI12" s="37"/>
      <c r="AJ12" s="40">
        <v>0</v>
      </c>
      <c r="AK12" s="37"/>
      <c r="AL12" s="37"/>
      <c r="AM12" s="37"/>
      <c r="AN12" s="40">
        <v>0</v>
      </c>
      <c r="AO12" s="37"/>
      <c r="AP12" s="37"/>
      <c r="AQ12" s="40">
        <v>0</v>
      </c>
      <c r="AR12" s="37"/>
      <c r="AS12" s="37"/>
      <c r="AT12" s="37"/>
      <c r="AU12" s="37"/>
      <c r="AV12" s="37"/>
      <c r="AW12" s="37"/>
      <c r="AX12" s="40">
        <v>0</v>
      </c>
      <c r="AY12" s="37"/>
      <c r="AZ12" s="40">
        <v>0</v>
      </c>
      <c r="BA12" s="37"/>
      <c r="BB12" s="37"/>
      <c r="BC12" s="37"/>
      <c r="BD12" s="37"/>
      <c r="BE12" s="37"/>
      <c r="BF12" s="40">
        <v>0</v>
      </c>
      <c r="BG12" s="37"/>
      <c r="BH12" s="37"/>
      <c r="BI12" s="37"/>
      <c r="BJ12" s="37"/>
      <c r="BK12" s="40">
        <v>0</v>
      </c>
      <c r="BL12" s="37"/>
      <c r="BM12" s="37"/>
      <c r="BN12" s="37"/>
    </row>
    <row r="13" spans="1:68" ht="11.25" customHeight="1" x14ac:dyDescent="0.25">
      <c r="A13" s="7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5">
        <v>0</v>
      </c>
      <c r="N13" s="6"/>
      <c r="O13" s="6"/>
      <c r="P13" s="6"/>
      <c r="Q13" s="35">
        <v>0</v>
      </c>
      <c r="R13" s="6"/>
      <c r="S13" s="6"/>
      <c r="T13" s="6"/>
      <c r="U13" s="35">
        <v>0</v>
      </c>
      <c r="V13" s="6"/>
      <c r="W13" s="6"/>
      <c r="X13" s="6"/>
      <c r="Y13" s="34" t="s">
        <v>8</v>
      </c>
      <c r="Z13" s="6"/>
      <c r="AA13" s="6"/>
      <c r="AB13" s="6"/>
      <c r="AC13" s="34" t="s">
        <v>8</v>
      </c>
      <c r="AD13" s="6"/>
      <c r="AE13" s="6"/>
      <c r="AF13" s="6"/>
      <c r="AG13" s="6"/>
      <c r="AH13" s="6"/>
      <c r="AI13" s="6"/>
      <c r="AJ13" s="32">
        <v>0</v>
      </c>
      <c r="AK13" s="6"/>
      <c r="AL13" s="6"/>
      <c r="AM13" s="6"/>
      <c r="AN13" s="32">
        <v>0</v>
      </c>
      <c r="AO13" s="6"/>
      <c r="AP13" s="6"/>
      <c r="AQ13" s="32">
        <v>0</v>
      </c>
      <c r="AR13" s="6"/>
      <c r="AS13" s="6"/>
      <c r="AT13" s="6"/>
      <c r="AU13" s="6"/>
      <c r="AV13" s="6"/>
      <c r="AW13" s="6"/>
      <c r="AX13" s="32">
        <v>0</v>
      </c>
      <c r="AY13" s="6"/>
      <c r="AZ13" s="32">
        <v>0</v>
      </c>
      <c r="BA13" s="6"/>
      <c r="BB13" s="6"/>
      <c r="BC13" s="6"/>
      <c r="BD13" s="6"/>
      <c r="BE13" s="6"/>
      <c r="BF13" s="32">
        <v>0</v>
      </c>
      <c r="BG13" s="6"/>
      <c r="BH13" s="6"/>
      <c r="BI13" s="6"/>
      <c r="BJ13" s="6"/>
      <c r="BK13" s="32">
        <v>0</v>
      </c>
      <c r="BL13" s="6"/>
      <c r="BM13" s="6"/>
      <c r="BN13" s="6"/>
    </row>
    <row r="14" spans="1:68" ht="0" hidden="1" customHeight="1" x14ac:dyDescent="0.25"/>
    <row r="15" spans="1:68" ht="19.350000000000001" customHeight="1" x14ac:dyDescent="0.25"/>
    <row r="16" spans="1:68" ht="11.45" customHeight="1" x14ac:dyDescent="0.25">
      <c r="A16" s="33" t="s">
        <v>25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1:69" ht="11.45" customHeight="1" x14ac:dyDescent="0.25">
      <c r="A17" s="8" t="s">
        <v>9</v>
      </c>
      <c r="B17" s="6"/>
      <c r="C17" s="6"/>
      <c r="D17" s="6"/>
      <c r="E17" s="8" t="s">
        <v>26</v>
      </c>
      <c r="F17" s="6"/>
      <c r="G17" s="6"/>
      <c r="H17" s="6"/>
      <c r="I17" s="6"/>
      <c r="J17" s="6"/>
      <c r="K17" s="6"/>
      <c r="L17" s="6"/>
      <c r="M17" s="6"/>
      <c r="N17" s="8" t="s">
        <v>27</v>
      </c>
      <c r="O17" s="6"/>
      <c r="P17" s="6"/>
      <c r="Q17" s="6"/>
      <c r="R17" s="6"/>
      <c r="S17" s="6"/>
      <c r="T17" s="6"/>
      <c r="U17" s="6"/>
      <c r="V17" s="6"/>
      <c r="W17" s="8" t="s">
        <v>28</v>
      </c>
      <c r="X17" s="6"/>
      <c r="Y17" s="6"/>
      <c r="Z17" s="6"/>
      <c r="AA17" s="6"/>
      <c r="AB17" s="8" t="s">
        <v>12</v>
      </c>
      <c r="AC17" s="6"/>
      <c r="AD17" s="6"/>
      <c r="AE17" s="6"/>
      <c r="AF17" s="6"/>
      <c r="AG17" s="6"/>
      <c r="AH17" s="8" t="s">
        <v>29</v>
      </c>
      <c r="AI17" s="6"/>
      <c r="AJ17" s="6"/>
      <c r="AK17" s="6"/>
      <c r="AL17" s="8" t="s">
        <v>30</v>
      </c>
      <c r="AM17" s="6"/>
      <c r="AN17" s="6"/>
      <c r="AO17" s="6"/>
      <c r="AP17" s="8" t="s">
        <v>31</v>
      </c>
      <c r="AQ17" s="6"/>
      <c r="AR17" s="6"/>
      <c r="AS17" s="6"/>
      <c r="AT17" s="6"/>
      <c r="AU17" s="6"/>
      <c r="AV17" s="6"/>
      <c r="AW17" s="8" t="s">
        <v>32</v>
      </c>
      <c r="AX17" s="6"/>
      <c r="AY17" s="6"/>
      <c r="AZ17" s="6"/>
      <c r="BA17" s="6"/>
      <c r="BB17" s="6"/>
      <c r="BC17" s="8" t="s">
        <v>33</v>
      </c>
      <c r="BD17" s="6"/>
      <c r="BE17" s="6"/>
      <c r="BF17" s="6"/>
      <c r="BG17" s="8" t="s">
        <v>34</v>
      </c>
      <c r="BH17" s="6"/>
      <c r="BI17" s="6"/>
      <c r="BJ17" s="6"/>
      <c r="BK17" s="6"/>
      <c r="BL17" s="8" t="s">
        <v>22</v>
      </c>
      <c r="BM17" s="6"/>
      <c r="BN17" s="6"/>
      <c r="BO17" s="6"/>
      <c r="BP17" s="6"/>
    </row>
    <row r="18" spans="1:69" ht="11.25" customHeight="1" x14ac:dyDescent="0.25">
      <c r="A18" s="30"/>
      <c r="B18" s="12"/>
      <c r="C18" s="12"/>
      <c r="D18" s="12"/>
      <c r="E18" s="30"/>
      <c r="F18" s="12"/>
      <c r="G18" s="12"/>
      <c r="H18" s="12"/>
      <c r="I18" s="12"/>
      <c r="J18" s="12"/>
      <c r="K18" s="12"/>
      <c r="L18" s="12"/>
      <c r="M18" s="12"/>
      <c r="N18" s="30"/>
      <c r="O18" s="12"/>
      <c r="P18" s="12"/>
      <c r="Q18" s="12"/>
      <c r="R18" s="12"/>
      <c r="S18" s="12"/>
      <c r="T18" s="12"/>
      <c r="U18" s="12"/>
      <c r="V18" s="12"/>
      <c r="W18" s="31"/>
      <c r="X18" s="12"/>
      <c r="Y18" s="12"/>
      <c r="Z18" s="12"/>
      <c r="AA18" s="12"/>
      <c r="AB18" s="31"/>
      <c r="AC18" s="12"/>
      <c r="AD18" s="12"/>
      <c r="AE18" s="12"/>
      <c r="AF18" s="12"/>
      <c r="AG18" s="12"/>
      <c r="AH18" s="29"/>
      <c r="AI18" s="12"/>
      <c r="AJ18" s="12"/>
      <c r="AK18" s="12"/>
      <c r="AL18" s="28"/>
      <c r="AM18" s="12"/>
      <c r="AN18" s="12"/>
      <c r="AO18" s="12"/>
      <c r="AP18" s="28"/>
      <c r="AQ18" s="12"/>
      <c r="AR18" s="12"/>
      <c r="AS18" s="12"/>
      <c r="AT18" s="12"/>
      <c r="AU18" s="12"/>
      <c r="AV18" s="12"/>
      <c r="AW18" s="28"/>
      <c r="AX18" s="12"/>
      <c r="AY18" s="12"/>
      <c r="AZ18" s="12"/>
      <c r="BA18" s="12"/>
      <c r="BB18" s="12"/>
      <c r="BC18" s="28"/>
      <c r="BD18" s="12"/>
      <c r="BE18" s="12"/>
      <c r="BF18" s="12"/>
      <c r="BG18" s="28"/>
      <c r="BH18" s="12"/>
      <c r="BI18" s="12"/>
      <c r="BJ18" s="12"/>
      <c r="BK18" s="12"/>
      <c r="BL18" s="28"/>
      <c r="BM18" s="12"/>
      <c r="BN18" s="12"/>
      <c r="BO18" s="12"/>
      <c r="BP18" s="12"/>
    </row>
    <row r="19" spans="1:69" ht="11.25" customHeight="1" x14ac:dyDescent="0.25">
      <c r="A19" s="7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26" t="s">
        <v>8</v>
      </c>
      <c r="O19" s="6"/>
      <c r="P19" s="6"/>
      <c r="Q19" s="6"/>
      <c r="R19" s="6"/>
      <c r="S19" s="6"/>
      <c r="T19" s="6"/>
      <c r="U19" s="6"/>
      <c r="V19" s="6"/>
      <c r="W19" s="27">
        <v>0</v>
      </c>
      <c r="X19" s="6"/>
      <c r="Y19" s="6"/>
      <c r="Z19" s="6"/>
      <c r="AA19" s="6"/>
      <c r="AB19" s="26" t="s">
        <v>8</v>
      </c>
      <c r="AC19" s="6"/>
      <c r="AD19" s="6"/>
      <c r="AE19" s="6"/>
      <c r="AF19" s="6"/>
      <c r="AG19" s="6"/>
      <c r="AH19" s="26" t="s">
        <v>8</v>
      </c>
      <c r="AI19" s="6"/>
      <c r="AJ19" s="6"/>
      <c r="AK19" s="6"/>
      <c r="AL19" s="26" t="s">
        <v>8</v>
      </c>
      <c r="AM19" s="6"/>
      <c r="AN19" s="6"/>
      <c r="AO19" s="6"/>
      <c r="AP19" s="24">
        <v>0</v>
      </c>
      <c r="AQ19" s="6"/>
      <c r="AR19" s="6"/>
      <c r="AS19" s="6"/>
      <c r="AT19" s="6"/>
      <c r="AU19" s="6"/>
      <c r="AV19" s="6"/>
      <c r="AW19" s="24">
        <v>0</v>
      </c>
      <c r="AX19" s="6"/>
      <c r="AY19" s="6"/>
      <c r="AZ19" s="6"/>
      <c r="BA19" s="6"/>
      <c r="BB19" s="6"/>
      <c r="BC19" s="24">
        <v>0</v>
      </c>
      <c r="BD19" s="6"/>
      <c r="BE19" s="6"/>
      <c r="BF19" s="6"/>
      <c r="BG19" s="24">
        <v>0</v>
      </c>
      <c r="BH19" s="6"/>
      <c r="BI19" s="6"/>
      <c r="BJ19" s="6"/>
      <c r="BK19" s="6"/>
      <c r="BL19" s="24">
        <v>0</v>
      </c>
      <c r="BM19" s="6"/>
      <c r="BN19" s="6"/>
      <c r="BO19" s="6"/>
      <c r="BP19" s="6"/>
    </row>
    <row r="20" spans="1:69" ht="0" hidden="1" customHeight="1" x14ac:dyDescent="0.25"/>
    <row r="21" spans="1:69" ht="4.9000000000000004" customHeight="1" x14ac:dyDescent="0.25"/>
    <row r="22" spans="1:69" x14ac:dyDescent="0.25">
      <c r="A22" s="2" t="s">
        <v>8</v>
      </c>
      <c r="B22" s="25" t="s">
        <v>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</row>
    <row r="23" spans="1:69" x14ac:dyDescent="0.25">
      <c r="A23" s="3" t="s">
        <v>8</v>
      </c>
      <c r="B23" s="3" t="s">
        <v>9</v>
      </c>
      <c r="C23" s="22" t="s">
        <v>36</v>
      </c>
      <c r="D23" s="20"/>
      <c r="E23" s="20"/>
      <c r="F23" s="22" t="s">
        <v>37</v>
      </c>
      <c r="G23" s="20"/>
      <c r="H23" s="20"/>
      <c r="I23" s="22" t="s">
        <v>10</v>
      </c>
      <c r="J23" s="20"/>
      <c r="K23" s="20"/>
      <c r="L23" s="22" t="s">
        <v>38</v>
      </c>
      <c r="M23" s="20"/>
      <c r="N23" s="20"/>
      <c r="O23" s="22" t="s">
        <v>39</v>
      </c>
      <c r="P23" s="20"/>
      <c r="Q23" s="20"/>
      <c r="R23" s="20"/>
      <c r="S23" s="22" t="s">
        <v>40</v>
      </c>
      <c r="T23" s="20"/>
      <c r="U23" s="20"/>
      <c r="V23" s="22" t="s">
        <v>41</v>
      </c>
      <c r="W23" s="20"/>
      <c r="X23" s="22" t="s">
        <v>42</v>
      </c>
      <c r="Y23" s="20"/>
      <c r="Z23" s="20"/>
      <c r="AA23" s="22" t="s">
        <v>43</v>
      </c>
      <c r="AB23" s="20"/>
      <c r="AC23" s="20"/>
      <c r="AD23" s="22" t="s">
        <v>44</v>
      </c>
      <c r="AE23" s="20"/>
      <c r="AF23" s="20"/>
      <c r="AG23" s="20"/>
      <c r="AH23" s="20"/>
      <c r="AI23" s="22" t="s">
        <v>45</v>
      </c>
      <c r="AJ23" s="20"/>
      <c r="AK23" s="20"/>
      <c r="AL23" s="20"/>
      <c r="AM23" s="22" t="s">
        <v>46</v>
      </c>
      <c r="AN23" s="20"/>
      <c r="AO23" s="22" t="s">
        <v>47</v>
      </c>
      <c r="AP23" s="20"/>
      <c r="AQ23" s="20"/>
      <c r="AR23" s="20"/>
      <c r="AS23" s="20"/>
      <c r="AT23" s="20"/>
      <c r="AU23" s="20"/>
      <c r="AV23" s="22" t="s">
        <v>48</v>
      </c>
      <c r="AW23" s="20"/>
      <c r="AX23" s="20"/>
      <c r="AY23" s="22" t="s">
        <v>32</v>
      </c>
      <c r="AZ23" s="20"/>
      <c r="BA23" s="20"/>
      <c r="BB23" s="20"/>
      <c r="BC23" s="20"/>
      <c r="BD23" s="22" t="s">
        <v>33</v>
      </c>
      <c r="BE23" s="20"/>
      <c r="BF23" s="20"/>
      <c r="BG23" s="20"/>
      <c r="BH23" s="20"/>
      <c r="BI23" s="20"/>
      <c r="BJ23" s="22" t="s">
        <v>49</v>
      </c>
      <c r="BK23" s="20"/>
      <c r="BL23" s="20"/>
      <c r="BM23" s="22" t="s">
        <v>22</v>
      </c>
      <c r="BN23" s="20"/>
      <c r="BO23" s="20"/>
      <c r="BP23" s="20"/>
      <c r="BQ23" s="20"/>
    </row>
    <row r="24" spans="1:69" x14ac:dyDescent="0.25">
      <c r="A24" s="21" t="s">
        <v>8</v>
      </c>
      <c r="B24" s="21" t="s">
        <v>50</v>
      </c>
      <c r="C24" s="20"/>
      <c r="D24" s="20"/>
      <c r="E24" s="20"/>
      <c r="F24" s="21" t="s">
        <v>8</v>
      </c>
      <c r="G24" s="20"/>
      <c r="H24" s="20"/>
      <c r="I24" s="21" t="s">
        <v>8</v>
      </c>
      <c r="J24" s="20"/>
      <c r="K24" s="20"/>
      <c r="L24" s="19" t="s">
        <v>8</v>
      </c>
      <c r="M24" s="20"/>
      <c r="N24" s="20"/>
      <c r="O24" s="19" t="s">
        <v>8</v>
      </c>
      <c r="P24" s="20"/>
      <c r="Q24" s="20"/>
      <c r="R24" s="20"/>
      <c r="S24" s="19" t="s">
        <v>8</v>
      </c>
      <c r="T24" s="20"/>
      <c r="U24" s="20"/>
      <c r="V24" s="21" t="s">
        <v>8</v>
      </c>
      <c r="W24" s="20"/>
      <c r="X24" s="22" t="s">
        <v>8</v>
      </c>
      <c r="Y24" s="20"/>
      <c r="Z24" s="20"/>
      <c r="AA24" s="22" t="s">
        <v>8</v>
      </c>
      <c r="AB24" s="20"/>
      <c r="AC24" s="20"/>
      <c r="AD24" s="19" t="s">
        <v>8</v>
      </c>
      <c r="AE24" s="20"/>
      <c r="AF24" s="20"/>
      <c r="AG24" s="20"/>
      <c r="AH24" s="20"/>
      <c r="AI24" s="19" t="s">
        <v>8</v>
      </c>
      <c r="AJ24" s="20"/>
      <c r="AK24" s="20"/>
      <c r="AL24" s="20"/>
      <c r="AM24" s="19" t="s">
        <v>8</v>
      </c>
      <c r="AN24" s="20"/>
      <c r="AO24" s="19" t="s">
        <v>8</v>
      </c>
      <c r="AP24" s="20"/>
      <c r="AQ24" s="20"/>
      <c r="AR24" s="20"/>
      <c r="AS24" s="20"/>
      <c r="AT24" s="20"/>
      <c r="AU24" s="20"/>
      <c r="AV24" s="19" t="s">
        <v>8</v>
      </c>
      <c r="AW24" s="20"/>
      <c r="AX24" s="20"/>
      <c r="AY24" s="19" t="s">
        <v>8</v>
      </c>
      <c r="AZ24" s="20"/>
      <c r="BA24" s="20"/>
      <c r="BB24" s="20"/>
      <c r="BC24" s="20"/>
      <c r="BD24" s="19" t="s">
        <v>8</v>
      </c>
      <c r="BE24" s="20"/>
      <c r="BF24" s="20"/>
      <c r="BG24" s="20"/>
      <c r="BH24" s="20"/>
      <c r="BI24" s="20"/>
      <c r="BJ24" s="19" t="s">
        <v>8</v>
      </c>
      <c r="BK24" s="20"/>
      <c r="BL24" s="20"/>
      <c r="BM24" s="19" t="s">
        <v>8</v>
      </c>
      <c r="BN24" s="20"/>
      <c r="BO24" s="20"/>
      <c r="BP24" s="20"/>
      <c r="BQ24" s="20"/>
    </row>
    <row r="25" spans="1:69" x14ac:dyDescent="0.25">
      <c r="A25" s="12"/>
      <c r="B25" s="21" t="s">
        <v>51</v>
      </c>
      <c r="C25" s="20"/>
      <c r="D25" s="20"/>
      <c r="E25" s="20"/>
      <c r="F25" s="20"/>
      <c r="G25" s="20"/>
      <c r="H25" s="20"/>
      <c r="I25" s="21" t="s">
        <v>8</v>
      </c>
      <c r="J25" s="20"/>
      <c r="K25" s="20"/>
      <c r="L25" s="19" t="s">
        <v>8</v>
      </c>
      <c r="M25" s="20"/>
      <c r="N25" s="20"/>
      <c r="O25" s="19" t="s">
        <v>8</v>
      </c>
      <c r="P25" s="20"/>
      <c r="Q25" s="20"/>
      <c r="R25" s="20"/>
      <c r="S25" s="19" t="s">
        <v>8</v>
      </c>
      <c r="T25" s="20"/>
      <c r="U25" s="20"/>
      <c r="V25" s="21" t="s">
        <v>8</v>
      </c>
      <c r="W25" s="20"/>
      <c r="X25" s="22" t="s">
        <v>8</v>
      </c>
      <c r="Y25" s="20"/>
      <c r="Z25" s="20"/>
      <c r="AA25" s="22" t="s">
        <v>8</v>
      </c>
      <c r="AB25" s="20"/>
      <c r="AC25" s="20"/>
      <c r="AD25" s="19" t="s">
        <v>8</v>
      </c>
      <c r="AE25" s="20"/>
      <c r="AF25" s="20"/>
      <c r="AG25" s="20"/>
      <c r="AH25" s="20"/>
      <c r="AI25" s="19" t="s">
        <v>8</v>
      </c>
      <c r="AJ25" s="20"/>
      <c r="AK25" s="20"/>
      <c r="AL25" s="20"/>
      <c r="AM25" s="19" t="s">
        <v>8</v>
      </c>
      <c r="AN25" s="20"/>
      <c r="AO25" s="19" t="s">
        <v>8</v>
      </c>
      <c r="AP25" s="20"/>
      <c r="AQ25" s="20"/>
      <c r="AR25" s="20"/>
      <c r="AS25" s="20"/>
      <c r="AT25" s="20"/>
      <c r="AU25" s="20"/>
      <c r="AV25" s="19" t="s">
        <v>8</v>
      </c>
      <c r="AW25" s="20"/>
      <c r="AX25" s="20"/>
      <c r="AY25" s="19" t="s">
        <v>8</v>
      </c>
      <c r="AZ25" s="20"/>
      <c r="BA25" s="20"/>
      <c r="BB25" s="20"/>
      <c r="BC25" s="20"/>
      <c r="BD25" s="19" t="s">
        <v>8</v>
      </c>
      <c r="BE25" s="20"/>
      <c r="BF25" s="20"/>
      <c r="BG25" s="20"/>
      <c r="BH25" s="20"/>
      <c r="BI25" s="20"/>
      <c r="BJ25" s="19" t="s">
        <v>8</v>
      </c>
      <c r="BK25" s="20"/>
      <c r="BL25" s="20"/>
      <c r="BM25" s="19" t="s">
        <v>8</v>
      </c>
      <c r="BN25" s="20"/>
      <c r="BO25" s="20"/>
      <c r="BP25" s="20"/>
      <c r="BQ25" s="20"/>
    </row>
    <row r="26" spans="1:69" x14ac:dyDescent="0.25">
      <c r="A26" s="12"/>
      <c r="B26" s="4" t="s">
        <v>52</v>
      </c>
      <c r="C26" s="13">
        <v>44043</v>
      </c>
      <c r="D26" s="12"/>
      <c r="E26" s="12"/>
      <c r="F26" s="14" t="s">
        <v>53</v>
      </c>
      <c r="G26" s="12"/>
      <c r="H26" s="12"/>
      <c r="I26" s="14" t="s">
        <v>54</v>
      </c>
      <c r="J26" s="12"/>
      <c r="K26" s="12"/>
      <c r="L26" s="15">
        <v>7.3900547681417796</v>
      </c>
      <c r="M26" s="12"/>
      <c r="N26" s="12"/>
      <c r="O26" s="15">
        <v>3.5553436741437801</v>
      </c>
      <c r="P26" s="12"/>
      <c r="Q26" s="12"/>
      <c r="R26" s="12"/>
      <c r="S26" s="16">
        <v>4.6974432254433198</v>
      </c>
      <c r="T26" s="12"/>
      <c r="U26" s="12"/>
      <c r="V26" s="14" t="s">
        <v>55</v>
      </c>
      <c r="W26" s="12"/>
      <c r="X26" s="13">
        <v>44029</v>
      </c>
      <c r="Y26" s="12"/>
      <c r="Z26" s="12"/>
      <c r="AA26" s="13">
        <v>47679</v>
      </c>
      <c r="AB26" s="12"/>
      <c r="AC26" s="12"/>
      <c r="AD26" s="15">
        <v>9</v>
      </c>
      <c r="AE26" s="12"/>
      <c r="AF26" s="12"/>
      <c r="AG26" s="12"/>
      <c r="AH26" s="12"/>
      <c r="AI26" s="17">
        <v>1260.3066859</v>
      </c>
      <c r="AJ26" s="12"/>
      <c r="AK26" s="12"/>
      <c r="AL26" s="12"/>
      <c r="AM26" s="11">
        <v>413321.55</v>
      </c>
      <c r="AN26" s="12"/>
      <c r="AO26" s="11">
        <v>0</v>
      </c>
      <c r="AP26" s="12"/>
      <c r="AQ26" s="12"/>
      <c r="AR26" s="12"/>
      <c r="AS26" s="12"/>
      <c r="AT26" s="12"/>
      <c r="AU26" s="12"/>
      <c r="AV26" s="11">
        <f>AD26*AI26</f>
        <v>11342.7601731</v>
      </c>
      <c r="AW26" s="12"/>
      <c r="AX26" s="12"/>
      <c r="AY26" s="11">
        <v>0</v>
      </c>
      <c r="AZ26" s="12"/>
      <c r="BA26" s="12"/>
      <c r="BB26" s="12"/>
      <c r="BC26" s="12"/>
      <c r="BD26" s="11">
        <v>487738.68</v>
      </c>
      <c r="BE26" s="12"/>
      <c r="BF26" s="12"/>
      <c r="BG26" s="12"/>
      <c r="BH26" s="12"/>
      <c r="BI26" s="12"/>
      <c r="BJ26" s="11">
        <v>1.74</v>
      </c>
      <c r="BK26" s="12"/>
      <c r="BL26" s="12"/>
      <c r="BM26" s="11">
        <v>1.18</v>
      </c>
      <c r="BN26" s="12"/>
      <c r="BO26" s="12"/>
      <c r="BP26" s="12"/>
      <c r="BQ26" s="12"/>
    </row>
    <row r="27" spans="1:69" x14ac:dyDescent="0.25">
      <c r="A27" s="12"/>
      <c r="B27" s="7" t="s">
        <v>56</v>
      </c>
      <c r="C27" s="6"/>
      <c r="D27" s="6"/>
      <c r="E27" s="6"/>
      <c r="F27" s="7" t="s">
        <v>8</v>
      </c>
      <c r="G27" s="6"/>
      <c r="H27" s="6"/>
      <c r="I27" s="7" t="s">
        <v>8</v>
      </c>
      <c r="J27" s="6"/>
      <c r="K27" s="6"/>
      <c r="L27" s="7" t="s">
        <v>8</v>
      </c>
      <c r="M27" s="6"/>
      <c r="N27" s="6"/>
      <c r="O27" s="7" t="s">
        <v>8</v>
      </c>
      <c r="P27" s="6"/>
      <c r="Q27" s="6"/>
      <c r="R27" s="6"/>
      <c r="S27" s="7" t="s">
        <v>8</v>
      </c>
      <c r="T27" s="6"/>
      <c r="U27" s="6"/>
      <c r="V27" s="7" t="s">
        <v>8</v>
      </c>
      <c r="W27" s="6"/>
      <c r="X27" s="8" t="s">
        <v>8</v>
      </c>
      <c r="Y27" s="6"/>
      <c r="Z27" s="6"/>
      <c r="AA27" s="8" t="s">
        <v>8</v>
      </c>
      <c r="AB27" s="6"/>
      <c r="AC27" s="6"/>
      <c r="AD27" s="9">
        <v>9</v>
      </c>
      <c r="AE27" s="6"/>
      <c r="AF27" s="6"/>
      <c r="AG27" s="6"/>
      <c r="AH27" s="6"/>
      <c r="AI27" s="7" t="s">
        <v>8</v>
      </c>
      <c r="AJ27" s="6"/>
      <c r="AK27" s="6"/>
      <c r="AL27" s="6"/>
      <c r="AM27" s="5">
        <v>413321.55</v>
      </c>
      <c r="AN27" s="6"/>
      <c r="AO27" s="5">
        <v>0</v>
      </c>
      <c r="AP27" s="6"/>
      <c r="AQ27" s="6"/>
      <c r="AR27" s="6"/>
      <c r="AS27" s="6"/>
      <c r="AT27" s="6"/>
      <c r="AU27" s="6"/>
      <c r="AV27" s="5">
        <f>SUM(AV26)</f>
        <v>11342.7601731</v>
      </c>
      <c r="AW27" s="6"/>
      <c r="AX27" s="6"/>
      <c r="AY27" s="5">
        <v>0</v>
      </c>
      <c r="AZ27" s="6"/>
      <c r="BA27" s="6"/>
      <c r="BB27" s="6"/>
      <c r="BC27" s="6"/>
      <c r="BD27" s="5">
        <v>487738.68</v>
      </c>
      <c r="BE27" s="6"/>
      <c r="BF27" s="6"/>
      <c r="BG27" s="6"/>
      <c r="BH27" s="6"/>
      <c r="BI27" s="6"/>
      <c r="BJ27" s="5">
        <v>1.74</v>
      </c>
      <c r="BK27" s="6"/>
      <c r="BL27" s="6"/>
      <c r="BM27" s="5">
        <v>1.18</v>
      </c>
      <c r="BN27" s="6"/>
      <c r="BO27" s="6"/>
      <c r="BP27" s="6"/>
      <c r="BQ27" s="6"/>
    </row>
    <row r="28" spans="1:69" x14ac:dyDescent="0.25">
      <c r="A28" s="12"/>
      <c r="B28" s="21" t="s">
        <v>50</v>
      </c>
      <c r="C28" s="20"/>
      <c r="D28" s="20"/>
      <c r="E28" s="20"/>
      <c r="F28" s="21" t="s">
        <v>8</v>
      </c>
      <c r="G28" s="20"/>
      <c r="H28" s="20"/>
      <c r="I28" s="21" t="s">
        <v>8</v>
      </c>
      <c r="J28" s="20"/>
      <c r="K28" s="20"/>
      <c r="L28" s="19" t="s">
        <v>8</v>
      </c>
      <c r="M28" s="20"/>
      <c r="N28" s="20"/>
      <c r="O28" s="19" t="s">
        <v>8</v>
      </c>
      <c r="P28" s="20"/>
      <c r="Q28" s="20"/>
      <c r="R28" s="20"/>
      <c r="S28" s="19" t="s">
        <v>8</v>
      </c>
      <c r="T28" s="20"/>
      <c r="U28" s="20"/>
      <c r="V28" s="21" t="s">
        <v>8</v>
      </c>
      <c r="W28" s="20"/>
      <c r="X28" s="22" t="s">
        <v>8</v>
      </c>
      <c r="Y28" s="20"/>
      <c r="Z28" s="20"/>
      <c r="AA28" s="22" t="s">
        <v>8</v>
      </c>
      <c r="AB28" s="20"/>
      <c r="AC28" s="20"/>
      <c r="AD28" s="19" t="s">
        <v>8</v>
      </c>
      <c r="AE28" s="20"/>
      <c r="AF28" s="20"/>
      <c r="AG28" s="20"/>
      <c r="AH28" s="20"/>
      <c r="AI28" s="19" t="s">
        <v>8</v>
      </c>
      <c r="AJ28" s="20"/>
      <c r="AK28" s="20"/>
      <c r="AL28" s="20"/>
      <c r="AM28" s="19" t="s">
        <v>8</v>
      </c>
      <c r="AN28" s="20"/>
      <c r="AO28" s="19" t="s">
        <v>8</v>
      </c>
      <c r="AP28" s="20"/>
      <c r="AQ28" s="20"/>
      <c r="AR28" s="20"/>
      <c r="AS28" s="20"/>
      <c r="AT28" s="20"/>
      <c r="AU28" s="20"/>
      <c r="AV28" s="19" t="s">
        <v>8</v>
      </c>
      <c r="AW28" s="20"/>
      <c r="AX28" s="20"/>
      <c r="AY28" s="19" t="s">
        <v>8</v>
      </c>
      <c r="AZ28" s="20"/>
      <c r="BA28" s="20"/>
      <c r="BB28" s="20"/>
      <c r="BC28" s="20"/>
      <c r="BD28" s="19" t="s">
        <v>8</v>
      </c>
      <c r="BE28" s="20"/>
      <c r="BF28" s="20"/>
      <c r="BG28" s="20"/>
      <c r="BH28" s="20"/>
      <c r="BI28" s="20"/>
      <c r="BJ28" s="19" t="s">
        <v>8</v>
      </c>
      <c r="BK28" s="20"/>
      <c r="BL28" s="20"/>
      <c r="BM28" s="19" t="s">
        <v>8</v>
      </c>
      <c r="BN28" s="20"/>
      <c r="BO28" s="20"/>
      <c r="BP28" s="20"/>
      <c r="BQ28" s="20"/>
    </row>
    <row r="29" spans="1:69" x14ac:dyDescent="0.25">
      <c r="A29" s="12"/>
      <c r="B29" s="21" t="s">
        <v>57</v>
      </c>
      <c r="C29" s="20"/>
      <c r="D29" s="20"/>
      <c r="E29" s="20"/>
      <c r="F29" s="20"/>
      <c r="G29" s="20"/>
      <c r="H29" s="20"/>
      <c r="I29" s="21" t="s">
        <v>8</v>
      </c>
      <c r="J29" s="20"/>
      <c r="K29" s="20"/>
      <c r="L29" s="19" t="s">
        <v>8</v>
      </c>
      <c r="M29" s="20"/>
      <c r="N29" s="20"/>
      <c r="O29" s="19" t="s">
        <v>8</v>
      </c>
      <c r="P29" s="20"/>
      <c r="Q29" s="20"/>
      <c r="R29" s="20"/>
      <c r="S29" s="19" t="s">
        <v>8</v>
      </c>
      <c r="T29" s="20"/>
      <c r="U29" s="20"/>
      <c r="V29" s="21" t="s">
        <v>8</v>
      </c>
      <c r="W29" s="20"/>
      <c r="X29" s="22" t="s">
        <v>8</v>
      </c>
      <c r="Y29" s="20"/>
      <c r="Z29" s="20"/>
      <c r="AA29" s="22" t="s">
        <v>8</v>
      </c>
      <c r="AB29" s="20"/>
      <c r="AC29" s="20"/>
      <c r="AD29" s="19" t="s">
        <v>8</v>
      </c>
      <c r="AE29" s="20"/>
      <c r="AF29" s="20"/>
      <c r="AG29" s="20"/>
      <c r="AH29" s="20"/>
      <c r="AI29" s="19" t="s">
        <v>8</v>
      </c>
      <c r="AJ29" s="20"/>
      <c r="AK29" s="20"/>
      <c r="AL29" s="20"/>
      <c r="AM29" s="19" t="s">
        <v>8</v>
      </c>
      <c r="AN29" s="20"/>
      <c r="AO29" s="19" t="s">
        <v>8</v>
      </c>
      <c r="AP29" s="20"/>
      <c r="AQ29" s="20"/>
      <c r="AR29" s="20"/>
      <c r="AS29" s="20"/>
      <c r="AT29" s="20"/>
      <c r="AU29" s="20"/>
      <c r="AV29" s="19" t="s">
        <v>8</v>
      </c>
      <c r="AW29" s="20"/>
      <c r="AX29" s="20"/>
      <c r="AY29" s="19" t="s">
        <v>8</v>
      </c>
      <c r="AZ29" s="20"/>
      <c r="BA29" s="20"/>
      <c r="BB29" s="20"/>
      <c r="BC29" s="20"/>
      <c r="BD29" s="19" t="s">
        <v>8</v>
      </c>
      <c r="BE29" s="20"/>
      <c r="BF29" s="20"/>
      <c r="BG29" s="20"/>
      <c r="BH29" s="20"/>
      <c r="BI29" s="20"/>
      <c r="BJ29" s="19" t="s">
        <v>8</v>
      </c>
      <c r="BK29" s="20"/>
      <c r="BL29" s="20"/>
      <c r="BM29" s="19" t="s">
        <v>8</v>
      </c>
      <c r="BN29" s="20"/>
      <c r="BO29" s="20"/>
      <c r="BP29" s="20"/>
      <c r="BQ29" s="20"/>
    </row>
    <row r="30" spans="1:69" x14ac:dyDescent="0.25">
      <c r="A30" s="12"/>
      <c r="B30" s="4" t="s">
        <v>58</v>
      </c>
      <c r="C30" s="13">
        <v>44043</v>
      </c>
      <c r="D30" s="12"/>
      <c r="E30" s="12"/>
      <c r="F30" s="14" t="s">
        <v>59</v>
      </c>
      <c r="G30" s="12"/>
      <c r="H30" s="12"/>
      <c r="I30" s="14" t="s">
        <v>60</v>
      </c>
      <c r="J30" s="12"/>
      <c r="K30" s="12"/>
      <c r="L30" s="15">
        <v>6.8569598007146304</v>
      </c>
      <c r="M30" s="12"/>
      <c r="N30" s="12"/>
      <c r="O30" s="15">
        <v>-6.0870860117968597</v>
      </c>
      <c r="P30" s="12"/>
      <c r="Q30" s="12"/>
      <c r="R30" s="12"/>
      <c r="S30" s="16">
        <v>3.9961084431895602</v>
      </c>
      <c r="T30" s="12"/>
      <c r="U30" s="12"/>
      <c r="V30" s="14" t="s">
        <v>55</v>
      </c>
      <c r="W30" s="12"/>
      <c r="X30" s="13">
        <v>44032</v>
      </c>
      <c r="Y30" s="12"/>
      <c r="Z30" s="12"/>
      <c r="AA30" s="13">
        <v>47679</v>
      </c>
      <c r="AB30" s="12"/>
      <c r="AC30" s="12"/>
      <c r="AD30" s="15">
        <v>156</v>
      </c>
      <c r="AE30" s="12"/>
      <c r="AF30" s="12"/>
      <c r="AG30" s="12"/>
      <c r="AH30" s="12"/>
      <c r="AI30" s="17">
        <v>1248.563071</v>
      </c>
      <c r="AJ30" s="12"/>
      <c r="AK30" s="12"/>
      <c r="AL30" s="12"/>
      <c r="AM30" s="11">
        <v>499446.41</v>
      </c>
      <c r="AN30" s="12"/>
      <c r="AO30" s="11">
        <v>0</v>
      </c>
      <c r="AP30" s="12"/>
      <c r="AQ30" s="12"/>
      <c r="AR30" s="12"/>
      <c r="AS30" s="12"/>
      <c r="AT30" s="12"/>
      <c r="AU30" s="12"/>
      <c r="AV30" s="23">
        <v>194775.839076</v>
      </c>
      <c r="AW30" s="23"/>
      <c r="AX30" s="23"/>
      <c r="AY30" s="11">
        <v>0</v>
      </c>
      <c r="AZ30" s="12"/>
      <c r="BA30" s="12"/>
      <c r="BB30" s="12"/>
      <c r="BC30" s="12"/>
      <c r="BD30" s="11">
        <v>580581.81999999995</v>
      </c>
      <c r="BE30" s="12"/>
      <c r="BF30" s="12"/>
      <c r="BG30" s="12"/>
      <c r="BH30" s="12"/>
      <c r="BI30" s="12"/>
      <c r="BJ30" s="11">
        <v>2.0699999999999998</v>
      </c>
      <c r="BK30" s="12"/>
      <c r="BL30" s="12"/>
      <c r="BM30" s="11">
        <v>1.41</v>
      </c>
      <c r="BN30" s="12"/>
      <c r="BO30" s="12"/>
      <c r="BP30" s="12"/>
      <c r="BQ30" s="12"/>
    </row>
    <row r="31" spans="1:69" x14ac:dyDescent="0.25">
      <c r="A31" s="12"/>
      <c r="B31" s="7" t="s">
        <v>61</v>
      </c>
      <c r="C31" s="6"/>
      <c r="D31" s="6"/>
      <c r="E31" s="6"/>
      <c r="F31" s="7" t="s">
        <v>8</v>
      </c>
      <c r="G31" s="6"/>
      <c r="H31" s="6"/>
      <c r="I31" s="7" t="s">
        <v>8</v>
      </c>
      <c r="J31" s="6"/>
      <c r="K31" s="6"/>
      <c r="L31" s="7" t="s">
        <v>8</v>
      </c>
      <c r="M31" s="6"/>
      <c r="N31" s="6"/>
      <c r="O31" s="7" t="s">
        <v>8</v>
      </c>
      <c r="P31" s="6"/>
      <c r="Q31" s="6"/>
      <c r="R31" s="6"/>
      <c r="S31" s="7" t="s">
        <v>8</v>
      </c>
      <c r="T31" s="6"/>
      <c r="U31" s="6"/>
      <c r="V31" s="7" t="s">
        <v>8</v>
      </c>
      <c r="W31" s="6"/>
      <c r="X31" s="8" t="s">
        <v>8</v>
      </c>
      <c r="Y31" s="6"/>
      <c r="Z31" s="6"/>
      <c r="AA31" s="8" t="s">
        <v>8</v>
      </c>
      <c r="AB31" s="6"/>
      <c r="AC31" s="6"/>
      <c r="AD31" s="9">
        <v>156</v>
      </c>
      <c r="AE31" s="6"/>
      <c r="AF31" s="6"/>
      <c r="AG31" s="6"/>
      <c r="AH31" s="6"/>
      <c r="AI31" s="7" t="s">
        <v>8</v>
      </c>
      <c r="AJ31" s="6"/>
      <c r="AK31" s="6"/>
      <c r="AL31" s="6"/>
      <c r="AM31" s="5">
        <v>499446.41</v>
      </c>
      <c r="AN31" s="6"/>
      <c r="AO31" s="5">
        <v>0</v>
      </c>
      <c r="AP31" s="6"/>
      <c r="AQ31" s="6"/>
      <c r="AR31" s="6"/>
      <c r="AS31" s="6"/>
      <c r="AT31" s="6"/>
      <c r="AU31" s="6"/>
      <c r="AV31" s="5">
        <v>194775.839076</v>
      </c>
      <c r="AW31" s="5"/>
      <c r="AX31" s="5"/>
      <c r="AY31" s="5">
        <v>0</v>
      </c>
      <c r="AZ31" s="6"/>
      <c r="BA31" s="6"/>
      <c r="BB31" s="6"/>
      <c r="BC31" s="6"/>
      <c r="BD31" s="5">
        <v>580581.81999999995</v>
      </c>
      <c r="BE31" s="6"/>
      <c r="BF31" s="6"/>
      <c r="BG31" s="6"/>
      <c r="BH31" s="6"/>
      <c r="BI31" s="6"/>
      <c r="BJ31" s="5">
        <v>2.0699999999999998</v>
      </c>
      <c r="BK31" s="6"/>
      <c r="BL31" s="6"/>
      <c r="BM31" s="5">
        <v>1.41</v>
      </c>
      <c r="BN31" s="6"/>
      <c r="BO31" s="6"/>
      <c r="BP31" s="6"/>
      <c r="BQ31" s="6"/>
    </row>
    <row r="32" spans="1:69" x14ac:dyDescent="0.25">
      <c r="A32" s="12"/>
      <c r="B32" s="21" t="s">
        <v>50</v>
      </c>
      <c r="C32" s="20"/>
      <c r="D32" s="20"/>
      <c r="E32" s="20"/>
      <c r="F32" s="21" t="s">
        <v>8</v>
      </c>
      <c r="G32" s="20"/>
      <c r="H32" s="20"/>
      <c r="I32" s="21" t="s">
        <v>8</v>
      </c>
      <c r="J32" s="20"/>
      <c r="K32" s="20"/>
      <c r="L32" s="19" t="s">
        <v>8</v>
      </c>
      <c r="M32" s="20"/>
      <c r="N32" s="20"/>
      <c r="O32" s="19" t="s">
        <v>8</v>
      </c>
      <c r="P32" s="20"/>
      <c r="Q32" s="20"/>
      <c r="R32" s="20"/>
      <c r="S32" s="19" t="s">
        <v>8</v>
      </c>
      <c r="T32" s="20"/>
      <c r="U32" s="20"/>
      <c r="V32" s="21" t="s">
        <v>8</v>
      </c>
      <c r="W32" s="20"/>
      <c r="X32" s="22" t="s">
        <v>8</v>
      </c>
      <c r="Y32" s="20"/>
      <c r="Z32" s="20"/>
      <c r="AA32" s="22" t="s">
        <v>8</v>
      </c>
      <c r="AB32" s="20"/>
      <c r="AC32" s="20"/>
      <c r="AD32" s="19" t="s">
        <v>8</v>
      </c>
      <c r="AE32" s="20"/>
      <c r="AF32" s="20"/>
      <c r="AG32" s="20"/>
      <c r="AH32" s="20"/>
      <c r="AI32" s="19" t="s">
        <v>8</v>
      </c>
      <c r="AJ32" s="20"/>
      <c r="AK32" s="20"/>
      <c r="AL32" s="20"/>
      <c r="AM32" s="19" t="s">
        <v>8</v>
      </c>
      <c r="AN32" s="20"/>
      <c r="AO32" s="19" t="s">
        <v>8</v>
      </c>
      <c r="AP32" s="20"/>
      <c r="AQ32" s="20"/>
      <c r="AR32" s="20"/>
      <c r="AS32" s="20"/>
      <c r="AT32" s="20"/>
      <c r="AU32" s="20"/>
      <c r="AV32" s="19" t="s">
        <v>8</v>
      </c>
      <c r="AW32" s="20"/>
      <c r="AX32" s="20"/>
      <c r="AY32" s="19" t="s">
        <v>8</v>
      </c>
      <c r="AZ32" s="20"/>
      <c r="BA32" s="20"/>
      <c r="BB32" s="20"/>
      <c r="BC32" s="20"/>
      <c r="BD32" s="19" t="s">
        <v>8</v>
      </c>
      <c r="BE32" s="20"/>
      <c r="BF32" s="20"/>
      <c r="BG32" s="20"/>
      <c r="BH32" s="20"/>
      <c r="BI32" s="20"/>
      <c r="BJ32" s="19" t="s">
        <v>8</v>
      </c>
      <c r="BK32" s="20"/>
      <c r="BL32" s="20"/>
      <c r="BM32" s="19" t="s">
        <v>8</v>
      </c>
      <c r="BN32" s="20"/>
      <c r="BO32" s="20"/>
      <c r="BP32" s="20"/>
      <c r="BQ32" s="20"/>
    </row>
    <row r="33" spans="1:69" x14ac:dyDescent="0.25">
      <c r="A33" s="12"/>
      <c r="B33" s="21" t="s">
        <v>62</v>
      </c>
      <c r="C33" s="20"/>
      <c r="D33" s="20"/>
      <c r="E33" s="20"/>
      <c r="F33" s="20"/>
      <c r="G33" s="20"/>
      <c r="H33" s="20"/>
      <c r="I33" s="21" t="s">
        <v>8</v>
      </c>
      <c r="J33" s="20"/>
      <c r="K33" s="20"/>
      <c r="L33" s="19" t="s">
        <v>8</v>
      </c>
      <c r="M33" s="20"/>
      <c r="N33" s="20"/>
      <c r="O33" s="19" t="s">
        <v>8</v>
      </c>
      <c r="P33" s="20"/>
      <c r="Q33" s="20"/>
      <c r="R33" s="20"/>
      <c r="S33" s="19" t="s">
        <v>8</v>
      </c>
      <c r="T33" s="20"/>
      <c r="U33" s="20"/>
      <c r="V33" s="21" t="s">
        <v>8</v>
      </c>
      <c r="W33" s="20"/>
      <c r="X33" s="22" t="s">
        <v>8</v>
      </c>
      <c r="Y33" s="20"/>
      <c r="Z33" s="20"/>
      <c r="AA33" s="22" t="s">
        <v>8</v>
      </c>
      <c r="AB33" s="20"/>
      <c r="AC33" s="20"/>
      <c r="AD33" s="19" t="s">
        <v>8</v>
      </c>
      <c r="AE33" s="20"/>
      <c r="AF33" s="20"/>
      <c r="AG33" s="20"/>
      <c r="AH33" s="20"/>
      <c r="AI33" s="19" t="s">
        <v>8</v>
      </c>
      <c r="AJ33" s="20"/>
      <c r="AK33" s="20"/>
      <c r="AL33" s="20"/>
      <c r="AM33" s="19" t="s">
        <v>8</v>
      </c>
      <c r="AN33" s="20"/>
      <c r="AO33" s="19" t="s">
        <v>8</v>
      </c>
      <c r="AP33" s="20"/>
      <c r="AQ33" s="20"/>
      <c r="AR33" s="20"/>
      <c r="AS33" s="20"/>
      <c r="AT33" s="20"/>
      <c r="AU33" s="20"/>
      <c r="AV33" s="19" t="s">
        <v>8</v>
      </c>
      <c r="AW33" s="20"/>
      <c r="AX33" s="20"/>
      <c r="AY33" s="19" t="s">
        <v>8</v>
      </c>
      <c r="AZ33" s="20"/>
      <c r="BA33" s="20"/>
      <c r="BB33" s="20"/>
      <c r="BC33" s="20"/>
      <c r="BD33" s="19" t="s">
        <v>8</v>
      </c>
      <c r="BE33" s="20"/>
      <c r="BF33" s="20"/>
      <c r="BG33" s="20"/>
      <c r="BH33" s="20"/>
      <c r="BI33" s="20"/>
      <c r="BJ33" s="19" t="s">
        <v>8</v>
      </c>
      <c r="BK33" s="20"/>
      <c r="BL33" s="20"/>
      <c r="BM33" s="19" t="s">
        <v>8</v>
      </c>
      <c r="BN33" s="20"/>
      <c r="BO33" s="20"/>
      <c r="BP33" s="20"/>
      <c r="BQ33" s="20"/>
    </row>
    <row r="34" spans="1:69" x14ac:dyDescent="0.25">
      <c r="A34" s="12"/>
      <c r="B34" s="4" t="s">
        <v>63</v>
      </c>
      <c r="C34" s="13">
        <v>44393</v>
      </c>
      <c r="D34" s="12"/>
      <c r="E34" s="12"/>
      <c r="F34" s="14" t="s">
        <v>64</v>
      </c>
      <c r="G34" s="12"/>
      <c r="H34" s="12"/>
      <c r="I34" s="14" t="s">
        <v>65</v>
      </c>
      <c r="J34" s="12"/>
      <c r="K34" s="12"/>
      <c r="L34" s="15">
        <v>11.0778577636686</v>
      </c>
      <c r="M34" s="12"/>
      <c r="N34" s="12"/>
      <c r="O34" s="15">
        <v>8.1106567629725106</v>
      </c>
      <c r="P34" s="12"/>
      <c r="Q34" s="12"/>
      <c r="R34" s="12"/>
      <c r="S34" s="16">
        <v>7.0999999995216703</v>
      </c>
      <c r="T34" s="12"/>
      <c r="U34" s="12"/>
      <c r="V34" s="14" t="s">
        <v>55</v>
      </c>
      <c r="W34" s="12"/>
      <c r="X34" s="13">
        <v>44393</v>
      </c>
      <c r="Y34" s="12"/>
      <c r="Z34" s="12"/>
      <c r="AA34" s="13">
        <v>48837</v>
      </c>
      <c r="AB34" s="12"/>
      <c r="AC34" s="12"/>
      <c r="AD34" s="15">
        <v>911</v>
      </c>
      <c r="AE34" s="12"/>
      <c r="AF34" s="12"/>
      <c r="AG34" s="12"/>
      <c r="AH34" s="12"/>
      <c r="AI34" s="17">
        <v>1042.9744958000001</v>
      </c>
      <c r="AJ34" s="12"/>
      <c r="AK34" s="12"/>
      <c r="AL34" s="12"/>
      <c r="AM34" s="11">
        <v>1500000</v>
      </c>
      <c r="AN34" s="12"/>
      <c r="AO34" s="11">
        <v>0</v>
      </c>
      <c r="AP34" s="12"/>
      <c r="AQ34" s="12"/>
      <c r="AR34" s="12"/>
      <c r="AS34" s="12"/>
      <c r="AT34" s="12"/>
      <c r="AU34" s="12"/>
      <c r="AV34" s="18">
        <v>950149.76567380014</v>
      </c>
      <c r="AW34" s="18"/>
      <c r="AX34" s="18"/>
      <c r="AY34" s="11">
        <v>0</v>
      </c>
      <c r="AZ34" s="12"/>
      <c r="BA34" s="12"/>
      <c r="BB34" s="12"/>
      <c r="BC34" s="12"/>
      <c r="BD34" s="11">
        <v>1564461.74</v>
      </c>
      <c r="BE34" s="12"/>
      <c r="BF34" s="12"/>
      <c r="BG34" s="12"/>
      <c r="BH34" s="12"/>
      <c r="BI34" s="12"/>
      <c r="BJ34" s="11">
        <v>5.59</v>
      </c>
      <c r="BK34" s="12"/>
      <c r="BL34" s="12"/>
      <c r="BM34" s="11">
        <v>3.8</v>
      </c>
      <c r="BN34" s="12"/>
      <c r="BO34" s="12"/>
      <c r="BP34" s="12"/>
      <c r="BQ34" s="12"/>
    </row>
    <row r="35" spans="1:69" x14ac:dyDescent="0.25">
      <c r="A35" s="12"/>
      <c r="B35" s="4" t="s">
        <v>66</v>
      </c>
      <c r="C35" s="13">
        <v>45015</v>
      </c>
      <c r="D35" s="12"/>
      <c r="E35" s="12"/>
      <c r="F35" s="14" t="s">
        <v>67</v>
      </c>
      <c r="G35" s="12"/>
      <c r="H35" s="12"/>
      <c r="I35" s="14" t="s">
        <v>68</v>
      </c>
      <c r="J35" s="12"/>
      <c r="K35" s="12"/>
      <c r="L35" s="15">
        <v>-1.0175140470947299</v>
      </c>
      <c r="M35" s="12"/>
      <c r="N35" s="12"/>
      <c r="O35" s="15">
        <v>3.3735355386885799</v>
      </c>
      <c r="P35" s="12"/>
      <c r="Q35" s="12"/>
      <c r="R35" s="12"/>
      <c r="S35" s="16">
        <v>2.03101951211648E-2</v>
      </c>
      <c r="T35" s="12"/>
      <c r="U35" s="12"/>
      <c r="V35" s="14" t="s">
        <v>69</v>
      </c>
      <c r="W35" s="12"/>
      <c r="X35" s="13">
        <v>43556</v>
      </c>
      <c r="Y35" s="12"/>
      <c r="Z35" s="12"/>
      <c r="AA35" s="13">
        <v>47196</v>
      </c>
      <c r="AB35" s="12"/>
      <c r="AC35" s="12"/>
      <c r="AD35" s="15">
        <v>59</v>
      </c>
      <c r="AE35" s="12"/>
      <c r="AF35" s="12"/>
      <c r="AG35" s="12"/>
      <c r="AH35" s="12"/>
      <c r="AI35" s="17">
        <v>10552.062585</v>
      </c>
      <c r="AJ35" s="12"/>
      <c r="AK35" s="12"/>
      <c r="AL35" s="12"/>
      <c r="AM35" s="11">
        <v>501830.41</v>
      </c>
      <c r="AN35" s="12"/>
      <c r="AO35" s="11">
        <v>0</v>
      </c>
      <c r="AP35" s="12"/>
      <c r="AQ35" s="12"/>
      <c r="AR35" s="12"/>
      <c r="AS35" s="12"/>
      <c r="AT35" s="12"/>
      <c r="AU35" s="12"/>
      <c r="AV35" s="11">
        <v>622571.692515</v>
      </c>
      <c r="AW35" s="11"/>
      <c r="AX35" s="11"/>
      <c r="AY35" s="11">
        <v>0</v>
      </c>
      <c r="AZ35" s="12"/>
      <c r="BA35" s="12"/>
      <c r="BB35" s="12"/>
      <c r="BC35" s="12"/>
      <c r="BD35" s="11">
        <v>527603.12</v>
      </c>
      <c r="BE35" s="12"/>
      <c r="BF35" s="12"/>
      <c r="BG35" s="12"/>
      <c r="BH35" s="12"/>
      <c r="BI35" s="12"/>
      <c r="BJ35" s="11">
        <v>1.89</v>
      </c>
      <c r="BK35" s="12"/>
      <c r="BL35" s="12"/>
      <c r="BM35" s="11">
        <v>1.28</v>
      </c>
      <c r="BN35" s="12"/>
      <c r="BO35" s="12"/>
      <c r="BP35" s="12"/>
      <c r="BQ35" s="12"/>
    </row>
    <row r="36" spans="1:69" x14ac:dyDescent="0.25">
      <c r="A36" s="12"/>
      <c r="B36" s="4" t="s">
        <v>70</v>
      </c>
      <c r="C36" s="13">
        <v>45015</v>
      </c>
      <c r="D36" s="12"/>
      <c r="E36" s="12"/>
      <c r="F36" s="14" t="s">
        <v>71</v>
      </c>
      <c r="G36" s="12"/>
      <c r="H36" s="12"/>
      <c r="I36" s="14" t="s">
        <v>72</v>
      </c>
      <c r="J36" s="12"/>
      <c r="K36" s="12"/>
      <c r="L36" s="15">
        <v>1.4514169942503099</v>
      </c>
      <c r="M36" s="12"/>
      <c r="N36" s="12"/>
      <c r="O36" s="15">
        <v>2.6154528784798599</v>
      </c>
      <c r="P36" s="12"/>
      <c r="Q36" s="12"/>
      <c r="R36" s="12"/>
      <c r="S36" s="16">
        <v>2.51183158932897</v>
      </c>
      <c r="T36" s="12"/>
      <c r="U36" s="12"/>
      <c r="V36" s="14" t="s">
        <v>73</v>
      </c>
      <c r="W36" s="12"/>
      <c r="X36" s="13">
        <v>44435</v>
      </c>
      <c r="Y36" s="12"/>
      <c r="Z36" s="12"/>
      <c r="AA36" s="13">
        <v>48080</v>
      </c>
      <c r="AB36" s="12"/>
      <c r="AC36" s="12"/>
      <c r="AD36" s="15">
        <v>48</v>
      </c>
      <c r="AE36" s="12"/>
      <c r="AF36" s="12"/>
      <c r="AG36" s="12"/>
      <c r="AH36" s="12"/>
      <c r="AI36" s="17">
        <v>1056.641194</v>
      </c>
      <c r="AJ36" s="12"/>
      <c r="AK36" s="12"/>
      <c r="AL36" s="12"/>
      <c r="AM36" s="11">
        <v>501019.09</v>
      </c>
      <c r="AN36" s="12"/>
      <c r="AO36" s="11">
        <v>0</v>
      </c>
      <c r="AP36" s="12"/>
      <c r="AQ36" s="12"/>
      <c r="AR36" s="12"/>
      <c r="AS36" s="12"/>
      <c r="AT36" s="12"/>
      <c r="AU36" s="12"/>
      <c r="AV36" s="11">
        <v>50718.777312000006</v>
      </c>
      <c r="AW36" s="11"/>
      <c r="AX36" s="11"/>
      <c r="AY36" s="11">
        <v>0</v>
      </c>
      <c r="AZ36" s="12"/>
      <c r="BA36" s="12"/>
      <c r="BB36" s="12"/>
      <c r="BC36" s="12"/>
      <c r="BD36" s="11">
        <v>543113.56999999995</v>
      </c>
      <c r="BE36" s="12"/>
      <c r="BF36" s="12"/>
      <c r="BG36" s="12"/>
      <c r="BH36" s="12"/>
      <c r="BI36" s="12"/>
      <c r="BJ36" s="11">
        <v>1.94</v>
      </c>
      <c r="BK36" s="12"/>
      <c r="BL36" s="12"/>
      <c r="BM36" s="11">
        <v>1.32</v>
      </c>
      <c r="BN36" s="12"/>
      <c r="BO36" s="12"/>
      <c r="BP36" s="12"/>
      <c r="BQ36" s="12"/>
    </row>
    <row r="37" spans="1:69" x14ac:dyDescent="0.25">
      <c r="A37" s="12"/>
      <c r="B37" s="4" t="s">
        <v>74</v>
      </c>
      <c r="C37" s="13">
        <v>45041</v>
      </c>
      <c r="D37" s="12"/>
      <c r="E37" s="12"/>
      <c r="F37" s="14" t="s">
        <v>75</v>
      </c>
      <c r="G37" s="12"/>
      <c r="H37" s="12"/>
      <c r="I37" s="14" t="s">
        <v>76</v>
      </c>
      <c r="J37" s="12"/>
      <c r="K37" s="12"/>
      <c r="L37" s="15">
        <v>1.42383496375618</v>
      </c>
      <c r="M37" s="12"/>
      <c r="N37" s="12"/>
      <c r="O37" s="15">
        <v>2.11025196946912</v>
      </c>
      <c r="P37" s="12"/>
      <c r="Q37" s="12"/>
      <c r="R37" s="12"/>
      <c r="S37" s="16">
        <v>1.86261307522377</v>
      </c>
      <c r="T37" s="12"/>
      <c r="U37" s="12"/>
      <c r="V37" s="14" t="s">
        <v>73</v>
      </c>
      <c r="W37" s="12"/>
      <c r="X37" s="13">
        <v>44376</v>
      </c>
      <c r="Y37" s="12"/>
      <c r="Z37" s="12"/>
      <c r="AA37" s="13">
        <v>48014</v>
      </c>
      <c r="AB37" s="12"/>
      <c r="AC37" s="12"/>
      <c r="AD37" s="15">
        <v>255</v>
      </c>
      <c r="AE37" s="12"/>
      <c r="AF37" s="12"/>
      <c r="AG37" s="12"/>
      <c r="AH37" s="12"/>
      <c r="AI37" s="17">
        <v>1086.2130500000001</v>
      </c>
      <c r="AJ37" s="12"/>
      <c r="AK37" s="12"/>
      <c r="AL37" s="12"/>
      <c r="AM37" s="11">
        <v>5316.85</v>
      </c>
      <c r="AN37" s="12"/>
      <c r="AO37" s="11">
        <v>0</v>
      </c>
      <c r="AP37" s="12"/>
      <c r="AQ37" s="12"/>
      <c r="AR37" s="12"/>
      <c r="AS37" s="12"/>
      <c r="AT37" s="12"/>
      <c r="AU37" s="12"/>
      <c r="AV37" s="11">
        <v>276984.32775</v>
      </c>
      <c r="AW37" s="11"/>
      <c r="AX37" s="11"/>
      <c r="AY37" s="11">
        <v>0</v>
      </c>
      <c r="AZ37" s="12"/>
      <c r="BA37" s="12"/>
      <c r="BB37" s="12"/>
      <c r="BC37" s="12"/>
      <c r="BD37" s="11">
        <v>5431.06</v>
      </c>
      <c r="BE37" s="12"/>
      <c r="BF37" s="12"/>
      <c r="BG37" s="12"/>
      <c r="BH37" s="12"/>
      <c r="BI37" s="12"/>
      <c r="BJ37" s="11">
        <v>0.02</v>
      </c>
      <c r="BK37" s="12"/>
      <c r="BL37" s="12"/>
      <c r="BM37" s="11">
        <v>0.01</v>
      </c>
      <c r="BN37" s="12"/>
      <c r="BO37" s="12"/>
      <c r="BP37" s="12"/>
      <c r="BQ37" s="12"/>
    </row>
    <row r="38" spans="1:69" x14ac:dyDescent="0.25">
      <c r="A38" s="12"/>
      <c r="B38" s="4" t="s">
        <v>77</v>
      </c>
      <c r="C38" s="13">
        <v>45041</v>
      </c>
      <c r="D38" s="12"/>
      <c r="E38" s="12"/>
      <c r="F38" s="14" t="s">
        <v>75</v>
      </c>
      <c r="G38" s="12"/>
      <c r="H38" s="12"/>
      <c r="I38" s="14" t="s">
        <v>76</v>
      </c>
      <c r="J38" s="12"/>
      <c r="K38" s="12"/>
      <c r="L38" s="15">
        <v>1.42383496375618</v>
      </c>
      <c r="M38" s="12"/>
      <c r="N38" s="12"/>
      <c r="O38" s="15">
        <v>2.11025196946912</v>
      </c>
      <c r="P38" s="12"/>
      <c r="Q38" s="12"/>
      <c r="R38" s="12"/>
      <c r="S38" s="16">
        <v>1.86261307522377</v>
      </c>
      <c r="T38" s="12"/>
      <c r="U38" s="12"/>
      <c r="V38" s="14" t="s">
        <v>73</v>
      </c>
      <c r="W38" s="12"/>
      <c r="X38" s="13">
        <v>44376</v>
      </c>
      <c r="Y38" s="12"/>
      <c r="Z38" s="12"/>
      <c r="AA38" s="13">
        <v>48014</v>
      </c>
      <c r="AB38" s="12"/>
      <c r="AC38" s="12"/>
      <c r="AD38" s="15">
        <v>190</v>
      </c>
      <c r="AE38" s="12"/>
      <c r="AF38" s="12"/>
      <c r="AG38" s="12"/>
      <c r="AH38" s="12"/>
      <c r="AI38" s="17">
        <v>1086.2130500000001</v>
      </c>
      <c r="AJ38" s="12"/>
      <c r="AK38" s="12"/>
      <c r="AL38" s="12"/>
      <c r="AM38" s="11">
        <v>138238.13</v>
      </c>
      <c r="AN38" s="12"/>
      <c r="AO38" s="11">
        <v>0</v>
      </c>
      <c r="AP38" s="12"/>
      <c r="AQ38" s="12"/>
      <c r="AR38" s="12"/>
      <c r="AS38" s="12"/>
      <c r="AT38" s="12"/>
      <c r="AU38" s="12"/>
      <c r="AV38" s="11">
        <v>206380.47950000002</v>
      </c>
      <c r="AW38" s="11"/>
      <c r="AX38" s="11"/>
      <c r="AY38" s="11">
        <v>0</v>
      </c>
      <c r="AZ38" s="12"/>
      <c r="BA38" s="12"/>
      <c r="BB38" s="12"/>
      <c r="BC38" s="12"/>
      <c r="BD38" s="11">
        <v>141207.69</v>
      </c>
      <c r="BE38" s="12"/>
      <c r="BF38" s="12"/>
      <c r="BG38" s="12"/>
      <c r="BH38" s="12"/>
      <c r="BI38" s="12"/>
      <c r="BJ38" s="11">
        <v>0.5</v>
      </c>
      <c r="BK38" s="12"/>
      <c r="BL38" s="12"/>
      <c r="BM38" s="11">
        <v>0.34</v>
      </c>
      <c r="BN38" s="12"/>
      <c r="BO38" s="12"/>
      <c r="BP38" s="12"/>
      <c r="BQ38" s="12"/>
    </row>
    <row r="39" spans="1:69" x14ac:dyDescent="0.25">
      <c r="A39" s="12"/>
      <c r="B39" s="4" t="s">
        <v>78</v>
      </c>
      <c r="C39" s="13">
        <v>45041</v>
      </c>
      <c r="D39" s="12"/>
      <c r="E39" s="12"/>
      <c r="F39" s="14" t="s">
        <v>75</v>
      </c>
      <c r="G39" s="12"/>
      <c r="H39" s="12"/>
      <c r="I39" s="14" t="s">
        <v>76</v>
      </c>
      <c r="J39" s="12"/>
      <c r="K39" s="12"/>
      <c r="L39" s="15">
        <v>1.42383496375618</v>
      </c>
      <c r="M39" s="12"/>
      <c r="N39" s="12"/>
      <c r="O39" s="15">
        <v>2.11025196946912</v>
      </c>
      <c r="P39" s="12"/>
      <c r="Q39" s="12"/>
      <c r="R39" s="12"/>
      <c r="S39" s="16">
        <v>1.86261307522377</v>
      </c>
      <c r="T39" s="12"/>
      <c r="U39" s="12"/>
      <c r="V39" s="14" t="s">
        <v>73</v>
      </c>
      <c r="W39" s="12"/>
      <c r="X39" s="13">
        <v>44376</v>
      </c>
      <c r="Y39" s="12"/>
      <c r="Z39" s="12"/>
      <c r="AA39" s="13">
        <v>48014</v>
      </c>
      <c r="AB39" s="12"/>
      <c r="AC39" s="12"/>
      <c r="AD39" s="15">
        <v>54</v>
      </c>
      <c r="AE39" s="12"/>
      <c r="AF39" s="12"/>
      <c r="AG39" s="12"/>
      <c r="AH39" s="12"/>
      <c r="AI39" s="17">
        <v>1086.2130500000001</v>
      </c>
      <c r="AJ39" s="12"/>
      <c r="AK39" s="12"/>
      <c r="AL39" s="12"/>
      <c r="AM39" s="11">
        <v>97830.06</v>
      </c>
      <c r="AN39" s="12"/>
      <c r="AO39" s="11">
        <v>0</v>
      </c>
      <c r="AP39" s="12"/>
      <c r="AQ39" s="12"/>
      <c r="AR39" s="12"/>
      <c r="AS39" s="12"/>
      <c r="AT39" s="12"/>
      <c r="AU39" s="12"/>
      <c r="AV39" s="11">
        <v>58655.504700000005</v>
      </c>
      <c r="AW39" s="11"/>
      <c r="AX39" s="11"/>
      <c r="AY39" s="11">
        <v>0</v>
      </c>
      <c r="AZ39" s="12"/>
      <c r="BA39" s="12"/>
      <c r="BB39" s="12"/>
      <c r="BC39" s="12"/>
      <c r="BD39" s="11">
        <v>99931.6</v>
      </c>
      <c r="BE39" s="12"/>
      <c r="BF39" s="12"/>
      <c r="BG39" s="12"/>
      <c r="BH39" s="12"/>
      <c r="BI39" s="12"/>
      <c r="BJ39" s="11">
        <v>0.36</v>
      </c>
      <c r="BK39" s="12"/>
      <c r="BL39" s="12"/>
      <c r="BM39" s="11">
        <v>0.24</v>
      </c>
      <c r="BN39" s="12"/>
      <c r="BO39" s="12"/>
      <c r="BP39" s="12"/>
      <c r="BQ39" s="12"/>
    </row>
    <row r="40" spans="1:69" x14ac:dyDescent="0.25">
      <c r="A40" s="12"/>
      <c r="B40" s="4" t="s">
        <v>79</v>
      </c>
      <c r="C40" s="13">
        <v>45041</v>
      </c>
      <c r="D40" s="12"/>
      <c r="E40" s="12"/>
      <c r="F40" s="14" t="s">
        <v>75</v>
      </c>
      <c r="G40" s="12"/>
      <c r="H40" s="12"/>
      <c r="I40" s="14" t="s">
        <v>76</v>
      </c>
      <c r="J40" s="12"/>
      <c r="K40" s="12"/>
      <c r="L40" s="15">
        <v>1.42383496375618</v>
      </c>
      <c r="M40" s="12"/>
      <c r="N40" s="12"/>
      <c r="O40" s="15">
        <v>2.11025196946912</v>
      </c>
      <c r="P40" s="12"/>
      <c r="Q40" s="12"/>
      <c r="R40" s="12"/>
      <c r="S40" s="16">
        <v>1.86261307522377</v>
      </c>
      <c r="T40" s="12"/>
      <c r="U40" s="12"/>
      <c r="V40" s="14" t="s">
        <v>73</v>
      </c>
      <c r="W40" s="12"/>
      <c r="X40" s="13">
        <v>44376</v>
      </c>
      <c r="Y40" s="12"/>
      <c r="Z40" s="12"/>
      <c r="AA40" s="13">
        <v>48014</v>
      </c>
      <c r="AB40" s="12"/>
      <c r="AC40" s="12"/>
      <c r="AD40" s="15">
        <v>180</v>
      </c>
      <c r="AE40" s="12"/>
      <c r="AF40" s="12"/>
      <c r="AG40" s="12"/>
      <c r="AH40" s="12"/>
      <c r="AI40" s="17">
        <v>1086.2130500000001</v>
      </c>
      <c r="AJ40" s="12"/>
      <c r="AK40" s="12"/>
      <c r="AL40" s="12"/>
      <c r="AM40" s="11">
        <v>89323.1</v>
      </c>
      <c r="AN40" s="12"/>
      <c r="AO40" s="11">
        <v>0</v>
      </c>
      <c r="AP40" s="12"/>
      <c r="AQ40" s="12"/>
      <c r="AR40" s="12"/>
      <c r="AS40" s="12"/>
      <c r="AT40" s="12"/>
      <c r="AU40" s="12"/>
      <c r="AV40" s="11">
        <v>195518.34900000002</v>
      </c>
      <c r="AW40" s="11"/>
      <c r="AX40" s="11"/>
      <c r="AY40" s="11">
        <v>0</v>
      </c>
      <c r="AZ40" s="12"/>
      <c r="BA40" s="12"/>
      <c r="BB40" s="12"/>
      <c r="BC40" s="12"/>
      <c r="BD40" s="11">
        <v>91241.89</v>
      </c>
      <c r="BE40" s="12"/>
      <c r="BF40" s="12"/>
      <c r="BG40" s="12"/>
      <c r="BH40" s="12"/>
      <c r="BI40" s="12"/>
      <c r="BJ40" s="11">
        <v>0.33</v>
      </c>
      <c r="BK40" s="12"/>
      <c r="BL40" s="12"/>
      <c r="BM40" s="11">
        <v>0.22</v>
      </c>
      <c r="BN40" s="12"/>
      <c r="BO40" s="12"/>
      <c r="BP40" s="12"/>
      <c r="BQ40" s="12"/>
    </row>
    <row r="41" spans="1:69" x14ac:dyDescent="0.25">
      <c r="A41" s="12"/>
      <c r="B41" s="4" t="s">
        <v>80</v>
      </c>
      <c r="C41" s="13">
        <v>45041</v>
      </c>
      <c r="D41" s="12"/>
      <c r="E41" s="12"/>
      <c r="F41" s="14" t="s">
        <v>75</v>
      </c>
      <c r="G41" s="12"/>
      <c r="H41" s="12"/>
      <c r="I41" s="14" t="s">
        <v>76</v>
      </c>
      <c r="J41" s="12"/>
      <c r="K41" s="12"/>
      <c r="L41" s="15">
        <v>1.42383496375618</v>
      </c>
      <c r="M41" s="12"/>
      <c r="N41" s="12"/>
      <c r="O41" s="15">
        <v>2.11025196946912</v>
      </c>
      <c r="P41" s="12"/>
      <c r="Q41" s="12"/>
      <c r="R41" s="12"/>
      <c r="S41" s="16">
        <v>1.86261307522377</v>
      </c>
      <c r="T41" s="12"/>
      <c r="U41" s="12"/>
      <c r="V41" s="14" t="s">
        <v>73</v>
      </c>
      <c r="W41" s="12"/>
      <c r="X41" s="13">
        <v>44376</v>
      </c>
      <c r="Y41" s="12"/>
      <c r="Z41" s="12"/>
      <c r="AA41" s="13">
        <v>48014</v>
      </c>
      <c r="AB41" s="12"/>
      <c r="AC41" s="12"/>
      <c r="AD41" s="15">
        <v>166</v>
      </c>
      <c r="AE41" s="12"/>
      <c r="AF41" s="12"/>
      <c r="AG41" s="12"/>
      <c r="AH41" s="12"/>
      <c r="AI41" s="17">
        <v>1086.2130500000001</v>
      </c>
      <c r="AJ41" s="12"/>
      <c r="AK41" s="12"/>
      <c r="AL41" s="12"/>
      <c r="AM41" s="11">
        <v>93576.58</v>
      </c>
      <c r="AN41" s="12"/>
      <c r="AO41" s="11">
        <v>0</v>
      </c>
      <c r="AP41" s="12"/>
      <c r="AQ41" s="12"/>
      <c r="AR41" s="12"/>
      <c r="AS41" s="12"/>
      <c r="AT41" s="12"/>
      <c r="AU41" s="12"/>
      <c r="AV41" s="11">
        <v>180311.36630000002</v>
      </c>
      <c r="AW41" s="11"/>
      <c r="AX41" s="11"/>
      <c r="AY41" s="11">
        <v>0</v>
      </c>
      <c r="AZ41" s="12"/>
      <c r="BA41" s="12"/>
      <c r="BB41" s="12"/>
      <c r="BC41" s="12"/>
      <c r="BD41" s="11">
        <v>95586.74</v>
      </c>
      <c r="BE41" s="12"/>
      <c r="BF41" s="12"/>
      <c r="BG41" s="12"/>
      <c r="BH41" s="12"/>
      <c r="BI41" s="12"/>
      <c r="BJ41" s="11">
        <v>0.34</v>
      </c>
      <c r="BK41" s="12"/>
      <c r="BL41" s="12"/>
      <c r="BM41" s="11">
        <v>0.23</v>
      </c>
      <c r="BN41" s="12"/>
      <c r="BO41" s="12"/>
      <c r="BP41" s="12"/>
      <c r="BQ41" s="12"/>
    </row>
    <row r="42" spans="1:69" x14ac:dyDescent="0.25">
      <c r="A42" s="12"/>
      <c r="B42" s="4" t="s">
        <v>81</v>
      </c>
      <c r="C42" s="13">
        <v>45041</v>
      </c>
      <c r="D42" s="12"/>
      <c r="E42" s="12"/>
      <c r="F42" s="14" t="s">
        <v>75</v>
      </c>
      <c r="G42" s="12"/>
      <c r="H42" s="12"/>
      <c r="I42" s="14" t="s">
        <v>76</v>
      </c>
      <c r="J42" s="12"/>
      <c r="K42" s="12"/>
      <c r="L42" s="15">
        <v>1.42383496375618</v>
      </c>
      <c r="M42" s="12"/>
      <c r="N42" s="12"/>
      <c r="O42" s="15">
        <v>2.11025196946912</v>
      </c>
      <c r="P42" s="12"/>
      <c r="Q42" s="12"/>
      <c r="R42" s="12"/>
      <c r="S42" s="16">
        <v>1.86261307522377</v>
      </c>
      <c r="T42" s="12"/>
      <c r="U42" s="12"/>
      <c r="V42" s="14" t="s">
        <v>73</v>
      </c>
      <c r="W42" s="12"/>
      <c r="X42" s="13">
        <v>44376</v>
      </c>
      <c r="Y42" s="12"/>
      <c r="Z42" s="12"/>
      <c r="AA42" s="13">
        <v>48014</v>
      </c>
      <c r="AB42" s="12"/>
      <c r="AC42" s="12"/>
      <c r="AD42" s="15">
        <v>404</v>
      </c>
      <c r="AE42" s="12"/>
      <c r="AF42" s="12"/>
      <c r="AG42" s="12"/>
      <c r="AH42" s="12"/>
      <c r="AI42" s="17">
        <v>1086.2130500000001</v>
      </c>
      <c r="AJ42" s="12"/>
      <c r="AK42" s="12"/>
      <c r="AL42" s="12"/>
      <c r="AM42" s="11">
        <v>110590.51</v>
      </c>
      <c r="AN42" s="12"/>
      <c r="AO42" s="11">
        <v>0</v>
      </c>
      <c r="AP42" s="12"/>
      <c r="AQ42" s="12"/>
      <c r="AR42" s="12"/>
      <c r="AS42" s="12"/>
      <c r="AT42" s="12"/>
      <c r="AU42" s="12"/>
      <c r="AV42" s="11">
        <v>438830.07220000005</v>
      </c>
      <c r="AW42" s="11"/>
      <c r="AX42" s="11"/>
      <c r="AY42" s="11">
        <v>0</v>
      </c>
      <c r="AZ42" s="12"/>
      <c r="BA42" s="12"/>
      <c r="BB42" s="12"/>
      <c r="BC42" s="12"/>
      <c r="BD42" s="11">
        <v>112966.15</v>
      </c>
      <c r="BE42" s="12"/>
      <c r="BF42" s="12"/>
      <c r="BG42" s="12"/>
      <c r="BH42" s="12"/>
      <c r="BI42" s="12"/>
      <c r="BJ42" s="11">
        <v>0.4</v>
      </c>
      <c r="BK42" s="12"/>
      <c r="BL42" s="12"/>
      <c r="BM42" s="11">
        <v>0.27</v>
      </c>
      <c r="BN42" s="12"/>
      <c r="BO42" s="12"/>
      <c r="BP42" s="12"/>
      <c r="BQ42" s="12"/>
    </row>
    <row r="43" spans="1:69" x14ac:dyDescent="0.25">
      <c r="A43" s="12"/>
      <c r="B43" s="4" t="s">
        <v>82</v>
      </c>
      <c r="C43" s="13">
        <v>45041</v>
      </c>
      <c r="D43" s="12"/>
      <c r="E43" s="12"/>
      <c r="F43" s="14" t="s">
        <v>75</v>
      </c>
      <c r="G43" s="12"/>
      <c r="H43" s="12"/>
      <c r="I43" s="14" t="s">
        <v>76</v>
      </c>
      <c r="J43" s="12"/>
      <c r="K43" s="12"/>
      <c r="L43" s="15">
        <v>1.42383496375618</v>
      </c>
      <c r="M43" s="12"/>
      <c r="N43" s="12"/>
      <c r="O43" s="15">
        <v>2.11025196946912</v>
      </c>
      <c r="P43" s="12"/>
      <c r="Q43" s="12"/>
      <c r="R43" s="12"/>
      <c r="S43" s="16">
        <v>1.86261307522377</v>
      </c>
      <c r="T43" s="12"/>
      <c r="U43" s="12"/>
      <c r="V43" s="14" t="s">
        <v>73</v>
      </c>
      <c r="W43" s="12"/>
      <c r="X43" s="13">
        <v>44376</v>
      </c>
      <c r="Y43" s="12"/>
      <c r="Z43" s="12"/>
      <c r="AA43" s="13">
        <v>48014</v>
      </c>
      <c r="AB43" s="12"/>
      <c r="AC43" s="12"/>
      <c r="AD43" s="15">
        <v>269</v>
      </c>
      <c r="AE43" s="12"/>
      <c r="AF43" s="12"/>
      <c r="AG43" s="12"/>
      <c r="AH43" s="12"/>
      <c r="AI43" s="17">
        <v>1086.2130500000001</v>
      </c>
      <c r="AJ43" s="12"/>
      <c r="AK43" s="12"/>
      <c r="AL43" s="12"/>
      <c r="AM43" s="11">
        <v>172265.98</v>
      </c>
      <c r="AN43" s="12"/>
      <c r="AO43" s="11">
        <v>0</v>
      </c>
      <c r="AP43" s="12"/>
      <c r="AQ43" s="12"/>
      <c r="AR43" s="12"/>
      <c r="AS43" s="12"/>
      <c r="AT43" s="12"/>
      <c r="AU43" s="12"/>
      <c r="AV43" s="11">
        <v>292191.31044999999</v>
      </c>
      <c r="AW43" s="11"/>
      <c r="AX43" s="11"/>
      <c r="AY43" s="11">
        <v>0</v>
      </c>
      <c r="AZ43" s="12"/>
      <c r="BA43" s="12"/>
      <c r="BB43" s="12"/>
      <c r="BC43" s="12"/>
      <c r="BD43" s="11">
        <v>175966.51</v>
      </c>
      <c r="BE43" s="12"/>
      <c r="BF43" s="12"/>
      <c r="BG43" s="12"/>
      <c r="BH43" s="12"/>
      <c r="BI43" s="12"/>
      <c r="BJ43" s="11">
        <v>0.63</v>
      </c>
      <c r="BK43" s="12"/>
      <c r="BL43" s="12"/>
      <c r="BM43" s="11">
        <v>0.43</v>
      </c>
      <c r="BN43" s="12"/>
      <c r="BO43" s="12"/>
      <c r="BP43" s="12"/>
      <c r="BQ43" s="12"/>
    </row>
    <row r="44" spans="1:69" x14ac:dyDescent="0.25">
      <c r="A44" s="12"/>
      <c r="B44" s="4" t="s">
        <v>83</v>
      </c>
      <c r="C44" s="13">
        <v>45041</v>
      </c>
      <c r="D44" s="12"/>
      <c r="E44" s="12"/>
      <c r="F44" s="14" t="s">
        <v>75</v>
      </c>
      <c r="G44" s="12"/>
      <c r="H44" s="12"/>
      <c r="I44" s="14" t="s">
        <v>76</v>
      </c>
      <c r="J44" s="12"/>
      <c r="K44" s="12"/>
      <c r="L44" s="15">
        <v>1.42383496375618</v>
      </c>
      <c r="M44" s="12"/>
      <c r="N44" s="12"/>
      <c r="O44" s="15">
        <v>2.11025196946912</v>
      </c>
      <c r="P44" s="12"/>
      <c r="Q44" s="12"/>
      <c r="R44" s="12"/>
      <c r="S44" s="16">
        <v>1.86261307522377</v>
      </c>
      <c r="T44" s="12"/>
      <c r="U44" s="12"/>
      <c r="V44" s="14" t="s">
        <v>73</v>
      </c>
      <c r="W44" s="12"/>
      <c r="X44" s="13">
        <v>44376</v>
      </c>
      <c r="Y44" s="12"/>
      <c r="Z44" s="12"/>
      <c r="AA44" s="13">
        <v>48014</v>
      </c>
      <c r="AB44" s="12"/>
      <c r="AC44" s="12"/>
      <c r="AD44" s="15">
        <v>497</v>
      </c>
      <c r="AE44" s="12"/>
      <c r="AF44" s="12"/>
      <c r="AG44" s="12"/>
      <c r="AH44" s="12"/>
      <c r="AI44" s="17">
        <v>1086.2130500000001</v>
      </c>
      <c r="AJ44" s="12"/>
      <c r="AK44" s="12"/>
      <c r="AL44" s="12"/>
      <c r="AM44" s="11">
        <v>200976.98</v>
      </c>
      <c r="AN44" s="12"/>
      <c r="AO44" s="11">
        <v>0</v>
      </c>
      <c r="AP44" s="12"/>
      <c r="AQ44" s="12"/>
      <c r="AR44" s="12"/>
      <c r="AS44" s="12"/>
      <c r="AT44" s="12"/>
      <c r="AU44" s="12"/>
      <c r="AV44" s="11">
        <v>539847.88585000008</v>
      </c>
      <c r="AW44" s="11"/>
      <c r="AX44" s="11"/>
      <c r="AY44" s="11">
        <v>0</v>
      </c>
      <c r="AZ44" s="12"/>
      <c r="BA44" s="12"/>
      <c r="BB44" s="12"/>
      <c r="BC44" s="12"/>
      <c r="BD44" s="11">
        <v>205294.26</v>
      </c>
      <c r="BE44" s="12"/>
      <c r="BF44" s="12"/>
      <c r="BG44" s="12"/>
      <c r="BH44" s="12"/>
      <c r="BI44" s="12"/>
      <c r="BJ44" s="11">
        <v>0.73</v>
      </c>
      <c r="BK44" s="12"/>
      <c r="BL44" s="12"/>
      <c r="BM44" s="11">
        <v>0.5</v>
      </c>
      <c r="BN44" s="12"/>
      <c r="BO44" s="12"/>
      <c r="BP44" s="12"/>
      <c r="BQ44" s="12"/>
    </row>
    <row r="45" spans="1:69" x14ac:dyDescent="0.25">
      <c r="A45" s="12"/>
      <c r="B45" s="4" t="s">
        <v>84</v>
      </c>
      <c r="C45" s="13">
        <v>45041</v>
      </c>
      <c r="D45" s="12"/>
      <c r="E45" s="12"/>
      <c r="F45" s="14" t="s">
        <v>75</v>
      </c>
      <c r="G45" s="12"/>
      <c r="H45" s="12"/>
      <c r="I45" s="14" t="s">
        <v>76</v>
      </c>
      <c r="J45" s="12"/>
      <c r="K45" s="12"/>
      <c r="L45" s="15">
        <v>1.42383496375618</v>
      </c>
      <c r="M45" s="12"/>
      <c r="N45" s="12"/>
      <c r="O45" s="15">
        <v>2.11025196946912</v>
      </c>
      <c r="P45" s="12"/>
      <c r="Q45" s="12"/>
      <c r="R45" s="12"/>
      <c r="S45" s="16">
        <v>1.86261307522377</v>
      </c>
      <c r="T45" s="12"/>
      <c r="U45" s="12"/>
      <c r="V45" s="14" t="s">
        <v>73</v>
      </c>
      <c r="W45" s="12"/>
      <c r="X45" s="13">
        <v>44376</v>
      </c>
      <c r="Y45" s="12"/>
      <c r="Z45" s="12"/>
      <c r="AA45" s="13">
        <v>48014</v>
      </c>
      <c r="AB45" s="12"/>
      <c r="AC45" s="12"/>
      <c r="AD45" s="15">
        <v>42</v>
      </c>
      <c r="AE45" s="12"/>
      <c r="AF45" s="12"/>
      <c r="AG45" s="12"/>
      <c r="AH45" s="12"/>
      <c r="AI45" s="17">
        <v>1086.2130500000001</v>
      </c>
      <c r="AJ45" s="12"/>
      <c r="AK45" s="12"/>
      <c r="AL45" s="12"/>
      <c r="AM45" s="11">
        <v>92513.21</v>
      </c>
      <c r="AN45" s="12"/>
      <c r="AO45" s="11">
        <v>0</v>
      </c>
      <c r="AP45" s="12"/>
      <c r="AQ45" s="12"/>
      <c r="AR45" s="12"/>
      <c r="AS45" s="12"/>
      <c r="AT45" s="12"/>
      <c r="AU45" s="12"/>
      <c r="AV45" s="11">
        <v>45620.948100000001</v>
      </c>
      <c r="AW45" s="11"/>
      <c r="AX45" s="11"/>
      <c r="AY45" s="11">
        <v>0</v>
      </c>
      <c r="AZ45" s="12"/>
      <c r="BA45" s="12"/>
      <c r="BB45" s="12"/>
      <c r="BC45" s="12"/>
      <c r="BD45" s="11">
        <v>94500.53</v>
      </c>
      <c r="BE45" s="12"/>
      <c r="BF45" s="12"/>
      <c r="BG45" s="12"/>
      <c r="BH45" s="12"/>
      <c r="BI45" s="12"/>
      <c r="BJ45" s="11">
        <v>0.34</v>
      </c>
      <c r="BK45" s="12"/>
      <c r="BL45" s="12"/>
      <c r="BM45" s="11">
        <v>0.23</v>
      </c>
      <c r="BN45" s="12"/>
      <c r="BO45" s="12"/>
      <c r="BP45" s="12"/>
      <c r="BQ45" s="12"/>
    </row>
    <row r="46" spans="1:69" x14ac:dyDescent="0.25">
      <c r="A46" s="12"/>
      <c r="B46" s="4" t="s">
        <v>85</v>
      </c>
      <c r="C46" s="13">
        <v>45068</v>
      </c>
      <c r="D46" s="12"/>
      <c r="E46" s="12"/>
      <c r="F46" s="14" t="s">
        <v>86</v>
      </c>
      <c r="G46" s="12"/>
      <c r="H46" s="12"/>
      <c r="I46" s="14" t="s">
        <v>87</v>
      </c>
      <c r="J46" s="12"/>
      <c r="K46" s="12"/>
      <c r="L46" s="15">
        <v>0.55371676759148303</v>
      </c>
      <c r="M46" s="12"/>
      <c r="N46" s="12"/>
      <c r="O46" s="15">
        <v>2.7111732347964201</v>
      </c>
      <c r="P46" s="12"/>
      <c r="Q46" s="12"/>
      <c r="R46" s="12"/>
      <c r="S46" s="16">
        <v>1.6418577169019299</v>
      </c>
      <c r="T46" s="12"/>
      <c r="U46" s="12"/>
      <c r="V46" s="14" t="s">
        <v>73</v>
      </c>
      <c r="W46" s="12"/>
      <c r="X46" s="13">
        <v>44509</v>
      </c>
      <c r="Y46" s="12"/>
      <c r="Z46" s="12"/>
      <c r="AA46" s="13">
        <v>46330</v>
      </c>
      <c r="AB46" s="12"/>
      <c r="AC46" s="12"/>
      <c r="AD46" s="15">
        <v>237</v>
      </c>
      <c r="AE46" s="12"/>
      <c r="AF46" s="12"/>
      <c r="AG46" s="12"/>
      <c r="AH46" s="12"/>
      <c r="AI46" s="17">
        <v>1015.946876</v>
      </c>
      <c r="AJ46" s="12"/>
      <c r="AK46" s="12"/>
      <c r="AL46" s="12"/>
      <c r="AM46" s="11">
        <v>500501.93</v>
      </c>
      <c r="AN46" s="12"/>
      <c r="AO46" s="11">
        <v>0</v>
      </c>
      <c r="AP46" s="12"/>
      <c r="AQ46" s="12"/>
      <c r="AR46" s="12"/>
      <c r="AS46" s="12"/>
      <c r="AT46" s="12"/>
      <c r="AU46" s="12"/>
      <c r="AV46" s="11">
        <v>240779.40961199999</v>
      </c>
      <c r="AW46" s="11"/>
      <c r="AX46" s="11"/>
      <c r="AY46" s="11">
        <v>0</v>
      </c>
      <c r="AZ46" s="12"/>
      <c r="BA46" s="12"/>
      <c r="BB46" s="12"/>
      <c r="BC46" s="12"/>
      <c r="BD46" s="11">
        <v>510005.33</v>
      </c>
      <c r="BE46" s="12"/>
      <c r="BF46" s="12"/>
      <c r="BG46" s="12"/>
      <c r="BH46" s="12"/>
      <c r="BI46" s="12"/>
      <c r="BJ46" s="11">
        <v>1.82</v>
      </c>
      <c r="BK46" s="12"/>
      <c r="BL46" s="12"/>
      <c r="BM46" s="11">
        <v>1.24</v>
      </c>
      <c r="BN46" s="12"/>
      <c r="BO46" s="12"/>
      <c r="BP46" s="12"/>
      <c r="BQ46" s="12"/>
    </row>
    <row r="47" spans="1:69" x14ac:dyDescent="0.25">
      <c r="A47" s="12"/>
      <c r="B47" s="4" t="s">
        <v>88</v>
      </c>
      <c r="C47" s="13">
        <v>45068</v>
      </c>
      <c r="D47" s="12"/>
      <c r="E47" s="12"/>
      <c r="F47" s="14" t="s">
        <v>89</v>
      </c>
      <c r="G47" s="12"/>
      <c r="H47" s="12"/>
      <c r="I47" s="14" t="s">
        <v>90</v>
      </c>
      <c r="J47" s="12"/>
      <c r="K47" s="12"/>
      <c r="L47" s="15">
        <v>0.37837215382523498</v>
      </c>
      <c r="M47" s="12"/>
      <c r="N47" s="12"/>
      <c r="O47" s="15">
        <v>1.2868778897035</v>
      </c>
      <c r="P47" s="12"/>
      <c r="Q47" s="12"/>
      <c r="R47" s="12"/>
      <c r="S47" s="16">
        <v>1.72130254456655</v>
      </c>
      <c r="T47" s="12"/>
      <c r="U47" s="12"/>
      <c r="V47" s="14" t="s">
        <v>73</v>
      </c>
      <c r="W47" s="12"/>
      <c r="X47" s="13">
        <v>43643</v>
      </c>
      <c r="Y47" s="12"/>
      <c r="Z47" s="12"/>
      <c r="AA47" s="13">
        <v>45818</v>
      </c>
      <c r="AB47" s="12"/>
      <c r="AC47" s="12"/>
      <c r="AD47" s="15">
        <v>140</v>
      </c>
      <c r="AE47" s="12"/>
      <c r="AF47" s="12"/>
      <c r="AG47" s="12"/>
      <c r="AH47" s="12"/>
      <c r="AI47" s="17">
        <v>3527.0239569999999</v>
      </c>
      <c r="AJ47" s="12"/>
      <c r="AK47" s="12"/>
      <c r="AL47" s="12"/>
      <c r="AM47" s="11">
        <v>497316.53</v>
      </c>
      <c r="AN47" s="12"/>
      <c r="AO47" s="11">
        <v>0</v>
      </c>
      <c r="AP47" s="12"/>
      <c r="AQ47" s="12"/>
      <c r="AR47" s="12"/>
      <c r="AS47" s="12"/>
      <c r="AT47" s="12"/>
      <c r="AU47" s="12"/>
      <c r="AV47" s="11">
        <v>493783.35397999996</v>
      </c>
      <c r="AW47" s="11"/>
      <c r="AX47" s="11"/>
      <c r="AY47" s="11">
        <v>0</v>
      </c>
      <c r="AZ47" s="12"/>
      <c r="BA47" s="12"/>
      <c r="BB47" s="12"/>
      <c r="BC47" s="12"/>
      <c r="BD47" s="11">
        <v>165770.12</v>
      </c>
      <c r="BE47" s="12"/>
      <c r="BF47" s="12"/>
      <c r="BG47" s="12"/>
      <c r="BH47" s="12"/>
      <c r="BI47" s="12"/>
      <c r="BJ47" s="11">
        <v>0.59</v>
      </c>
      <c r="BK47" s="12"/>
      <c r="BL47" s="12"/>
      <c r="BM47" s="11">
        <v>0.4</v>
      </c>
      <c r="BN47" s="12"/>
      <c r="BO47" s="12"/>
      <c r="BP47" s="12"/>
      <c r="BQ47" s="12"/>
    </row>
    <row r="48" spans="1:69" x14ac:dyDescent="0.25">
      <c r="A48" s="12"/>
      <c r="B48" s="4" t="s">
        <v>91</v>
      </c>
      <c r="C48" s="13">
        <v>45068</v>
      </c>
      <c r="D48" s="12"/>
      <c r="E48" s="12"/>
      <c r="F48" s="14" t="s">
        <v>92</v>
      </c>
      <c r="G48" s="12"/>
      <c r="H48" s="12"/>
      <c r="I48" s="14" t="s">
        <v>93</v>
      </c>
      <c r="J48" s="12"/>
      <c r="K48" s="12"/>
      <c r="L48" s="15">
        <v>0.58733464738482999</v>
      </c>
      <c r="M48" s="12"/>
      <c r="N48" s="12"/>
      <c r="O48" s="15">
        <v>1.7128654256060001</v>
      </c>
      <c r="P48" s="12"/>
      <c r="Q48" s="12"/>
      <c r="R48" s="12"/>
      <c r="S48" s="16">
        <v>1.75159370544791</v>
      </c>
      <c r="T48" s="12"/>
      <c r="U48" s="12"/>
      <c r="V48" s="14" t="s">
        <v>73</v>
      </c>
      <c r="W48" s="12"/>
      <c r="X48" s="13">
        <v>43577</v>
      </c>
      <c r="Y48" s="12"/>
      <c r="Z48" s="12"/>
      <c r="AA48" s="13">
        <v>46461</v>
      </c>
      <c r="AB48" s="12"/>
      <c r="AC48" s="12"/>
      <c r="AD48" s="15">
        <v>225</v>
      </c>
      <c r="AE48" s="12"/>
      <c r="AF48" s="12"/>
      <c r="AG48" s="12"/>
      <c r="AH48" s="12"/>
      <c r="AI48" s="17">
        <v>1028.191088</v>
      </c>
      <c r="AJ48" s="12"/>
      <c r="AK48" s="12"/>
      <c r="AL48" s="12"/>
      <c r="AM48" s="11">
        <v>500320.92</v>
      </c>
      <c r="AN48" s="12"/>
      <c r="AO48" s="11">
        <v>0</v>
      </c>
      <c r="AP48" s="12"/>
      <c r="AQ48" s="12"/>
      <c r="AR48" s="12"/>
      <c r="AS48" s="12"/>
      <c r="AT48" s="12"/>
      <c r="AU48" s="12"/>
      <c r="AV48" s="11">
        <v>231342.99480000001</v>
      </c>
      <c r="AW48" s="11"/>
      <c r="AX48" s="11"/>
      <c r="AY48" s="11">
        <v>0</v>
      </c>
      <c r="AZ48" s="12"/>
      <c r="BA48" s="12"/>
      <c r="BB48" s="12"/>
      <c r="BC48" s="12"/>
      <c r="BD48" s="11">
        <v>514095.54</v>
      </c>
      <c r="BE48" s="12"/>
      <c r="BF48" s="12"/>
      <c r="BG48" s="12"/>
      <c r="BH48" s="12"/>
      <c r="BI48" s="12"/>
      <c r="BJ48" s="11">
        <v>1.84</v>
      </c>
      <c r="BK48" s="12"/>
      <c r="BL48" s="12"/>
      <c r="BM48" s="11">
        <v>1.25</v>
      </c>
      <c r="BN48" s="12"/>
      <c r="BO48" s="12"/>
      <c r="BP48" s="12"/>
      <c r="BQ48" s="12"/>
    </row>
    <row r="49" spans="1:69" x14ac:dyDescent="0.25">
      <c r="A49" s="12"/>
      <c r="B49" s="4" t="s">
        <v>94</v>
      </c>
      <c r="C49" s="13">
        <v>45120</v>
      </c>
      <c r="D49" s="12"/>
      <c r="E49" s="12"/>
      <c r="F49" s="14" t="s">
        <v>67</v>
      </c>
      <c r="G49" s="12"/>
      <c r="H49" s="12"/>
      <c r="I49" s="14" t="s">
        <v>68</v>
      </c>
      <c r="J49" s="12"/>
      <c r="K49" s="12"/>
      <c r="L49" s="15">
        <v>-1.0175140470947299</v>
      </c>
      <c r="M49" s="12"/>
      <c r="N49" s="12"/>
      <c r="O49" s="15">
        <v>3.3735355386885799</v>
      </c>
      <c r="P49" s="12"/>
      <c r="Q49" s="12"/>
      <c r="R49" s="12"/>
      <c r="S49" s="16">
        <v>2.6183793201783899E-2</v>
      </c>
      <c r="T49" s="12"/>
      <c r="U49" s="12"/>
      <c r="V49" s="14" t="s">
        <v>69</v>
      </c>
      <c r="W49" s="12"/>
      <c r="X49" s="13">
        <v>43556</v>
      </c>
      <c r="Y49" s="12"/>
      <c r="Z49" s="12"/>
      <c r="AA49" s="13">
        <v>47196</v>
      </c>
      <c r="AB49" s="12"/>
      <c r="AC49" s="12"/>
      <c r="AD49" s="15">
        <v>407</v>
      </c>
      <c r="AE49" s="12"/>
      <c r="AF49" s="12"/>
      <c r="AG49" s="12"/>
      <c r="AH49" s="12"/>
      <c r="AI49" s="17">
        <v>10552.062585</v>
      </c>
      <c r="AJ49" s="12"/>
      <c r="AK49" s="12"/>
      <c r="AL49" s="12"/>
      <c r="AM49" s="11">
        <v>501976.97</v>
      </c>
      <c r="AN49" s="12"/>
      <c r="AO49" s="11">
        <v>0</v>
      </c>
      <c r="AP49" s="12"/>
      <c r="AQ49" s="12"/>
      <c r="AR49" s="12"/>
      <c r="AS49" s="12"/>
      <c r="AT49" s="12"/>
      <c r="AU49" s="12"/>
      <c r="AV49" s="11">
        <v>4294689.4720949996</v>
      </c>
      <c r="AW49" s="11"/>
      <c r="AX49" s="11"/>
      <c r="AY49" s="11">
        <v>0</v>
      </c>
      <c r="AZ49" s="12"/>
      <c r="BA49" s="12"/>
      <c r="BB49" s="12"/>
      <c r="BC49" s="12"/>
      <c r="BD49" s="11">
        <v>506499</v>
      </c>
      <c r="BE49" s="12"/>
      <c r="BF49" s="12"/>
      <c r="BG49" s="12"/>
      <c r="BH49" s="12"/>
      <c r="BI49" s="12"/>
      <c r="BJ49" s="11">
        <v>1.81</v>
      </c>
      <c r="BK49" s="12"/>
      <c r="BL49" s="12"/>
      <c r="BM49" s="11">
        <v>1.23</v>
      </c>
      <c r="BN49" s="12"/>
      <c r="BO49" s="12"/>
      <c r="BP49" s="12"/>
      <c r="BQ49" s="12"/>
    </row>
    <row r="50" spans="1:69" x14ac:dyDescent="0.25">
      <c r="A50" s="12"/>
      <c r="B50" s="4" t="s">
        <v>95</v>
      </c>
      <c r="C50" s="13">
        <v>45580</v>
      </c>
      <c r="D50" s="12"/>
      <c r="E50" s="12"/>
      <c r="F50" s="14" t="s">
        <v>96</v>
      </c>
      <c r="G50" s="12"/>
      <c r="H50" s="12"/>
      <c r="I50" s="14" t="s">
        <v>97</v>
      </c>
      <c r="J50" s="12"/>
      <c r="K50" s="12"/>
      <c r="L50" s="15">
        <v>0.68900788754620002</v>
      </c>
      <c r="M50" s="12"/>
      <c r="N50" s="12"/>
      <c r="O50" s="15">
        <v>3.8733704284796802</v>
      </c>
      <c r="P50" s="12"/>
      <c r="Q50" s="12"/>
      <c r="R50" s="12"/>
      <c r="S50" s="16">
        <v>0.690000000109947</v>
      </c>
      <c r="T50" s="12"/>
      <c r="U50" s="12"/>
      <c r="V50" s="14" t="s">
        <v>73</v>
      </c>
      <c r="W50" s="12"/>
      <c r="X50" s="13">
        <v>45580</v>
      </c>
      <c r="Y50" s="12"/>
      <c r="Z50" s="12"/>
      <c r="AA50" s="13">
        <v>48131</v>
      </c>
      <c r="AB50" s="12"/>
      <c r="AC50" s="12"/>
      <c r="AD50" s="15">
        <v>234</v>
      </c>
      <c r="AE50" s="12"/>
      <c r="AF50" s="12"/>
      <c r="AG50" s="12"/>
      <c r="AH50" s="12"/>
      <c r="AI50" s="17">
        <v>1010.986296</v>
      </c>
      <c r="AJ50" s="12"/>
      <c r="AK50" s="12"/>
      <c r="AL50" s="12"/>
      <c r="AM50" s="11">
        <v>500000</v>
      </c>
      <c r="AN50" s="12"/>
      <c r="AO50" s="11">
        <v>0</v>
      </c>
      <c r="AP50" s="12"/>
      <c r="AQ50" s="12"/>
      <c r="AR50" s="12"/>
      <c r="AS50" s="12"/>
      <c r="AT50" s="12"/>
      <c r="AU50" s="12"/>
      <c r="AV50" s="10">
        <v>236570.79326400001</v>
      </c>
      <c r="AW50" s="10"/>
      <c r="AX50" s="10"/>
      <c r="AY50" s="11">
        <v>0</v>
      </c>
      <c r="AZ50" s="12"/>
      <c r="BA50" s="12"/>
      <c r="BB50" s="12"/>
      <c r="BC50" s="12"/>
      <c r="BD50" s="11">
        <v>505493.14</v>
      </c>
      <c r="BE50" s="12"/>
      <c r="BF50" s="12"/>
      <c r="BG50" s="12"/>
      <c r="BH50" s="12"/>
      <c r="BI50" s="12"/>
      <c r="BJ50" s="11">
        <v>1.81</v>
      </c>
      <c r="BK50" s="12"/>
      <c r="BL50" s="12"/>
      <c r="BM50" s="11">
        <v>1.23</v>
      </c>
      <c r="BN50" s="12"/>
      <c r="BO50" s="12"/>
      <c r="BP50" s="12"/>
      <c r="BQ50" s="12"/>
    </row>
    <row r="51" spans="1:69" x14ac:dyDescent="0.25">
      <c r="A51" s="12"/>
      <c r="B51" s="7" t="s">
        <v>98</v>
      </c>
      <c r="C51" s="6"/>
      <c r="D51" s="6"/>
      <c r="E51" s="6"/>
      <c r="F51" s="7" t="s">
        <v>8</v>
      </c>
      <c r="G51" s="6"/>
      <c r="H51" s="6"/>
      <c r="I51" s="7" t="s">
        <v>8</v>
      </c>
      <c r="J51" s="6"/>
      <c r="K51" s="6"/>
      <c r="L51" s="7" t="s">
        <v>8</v>
      </c>
      <c r="M51" s="6"/>
      <c r="N51" s="6"/>
      <c r="O51" s="7" t="s">
        <v>8</v>
      </c>
      <c r="P51" s="6"/>
      <c r="Q51" s="6"/>
      <c r="R51" s="6"/>
      <c r="S51" s="7" t="s">
        <v>8</v>
      </c>
      <c r="T51" s="6"/>
      <c r="U51" s="6"/>
      <c r="V51" s="7" t="s">
        <v>8</v>
      </c>
      <c r="W51" s="6"/>
      <c r="X51" s="8" t="s">
        <v>8</v>
      </c>
      <c r="Y51" s="6"/>
      <c r="Z51" s="6"/>
      <c r="AA51" s="8" t="s">
        <v>8</v>
      </c>
      <c r="AB51" s="6"/>
      <c r="AC51" s="6"/>
      <c r="AD51" s="9">
        <v>4328</v>
      </c>
      <c r="AE51" s="6"/>
      <c r="AF51" s="6"/>
      <c r="AG51" s="6"/>
      <c r="AH51" s="6"/>
      <c r="AI51" s="7" t="s">
        <v>8</v>
      </c>
      <c r="AJ51" s="6"/>
      <c r="AK51" s="6"/>
      <c r="AL51" s="6"/>
      <c r="AM51" s="5">
        <v>6003597.25</v>
      </c>
      <c r="AN51" s="6"/>
      <c r="AO51" s="5">
        <v>0</v>
      </c>
      <c r="AP51" s="6"/>
      <c r="AQ51" s="6"/>
      <c r="AR51" s="6"/>
      <c r="AS51" s="6"/>
      <c r="AT51" s="6"/>
      <c r="AU51" s="6"/>
      <c r="AV51" s="5">
        <v>9354946.5031017996</v>
      </c>
      <c r="AW51" s="5"/>
      <c r="AX51" s="5"/>
      <c r="AY51" s="5">
        <v>0</v>
      </c>
      <c r="AZ51" s="6"/>
      <c r="BA51" s="6"/>
      <c r="BB51" s="6"/>
      <c r="BC51" s="6"/>
      <c r="BD51" s="5">
        <v>5859167.9900000002</v>
      </c>
      <c r="BE51" s="6"/>
      <c r="BF51" s="6"/>
      <c r="BG51" s="6"/>
      <c r="BH51" s="6"/>
      <c r="BI51" s="6"/>
      <c r="BJ51" s="5">
        <v>20.94</v>
      </c>
      <c r="BK51" s="6"/>
      <c r="BL51" s="6"/>
      <c r="BM51" s="5">
        <v>14.22</v>
      </c>
      <c r="BN51" s="6"/>
      <c r="BO51" s="6"/>
      <c r="BP51" s="6"/>
      <c r="BQ51" s="6"/>
    </row>
    <row r="52" spans="1:69" x14ac:dyDescent="0.25">
      <c r="A52" s="12"/>
      <c r="B52" s="21" t="s">
        <v>50</v>
      </c>
      <c r="C52" s="20"/>
      <c r="D52" s="20"/>
      <c r="E52" s="20"/>
      <c r="F52" s="21" t="s">
        <v>8</v>
      </c>
      <c r="G52" s="20"/>
      <c r="H52" s="20"/>
      <c r="I52" s="21" t="s">
        <v>8</v>
      </c>
      <c r="J52" s="20"/>
      <c r="K52" s="20"/>
      <c r="L52" s="19" t="s">
        <v>8</v>
      </c>
      <c r="M52" s="20"/>
      <c r="N52" s="20"/>
      <c r="O52" s="19" t="s">
        <v>8</v>
      </c>
      <c r="P52" s="20"/>
      <c r="Q52" s="20"/>
      <c r="R52" s="20"/>
      <c r="S52" s="19" t="s">
        <v>8</v>
      </c>
      <c r="T52" s="20"/>
      <c r="U52" s="20"/>
      <c r="V52" s="21" t="s">
        <v>8</v>
      </c>
      <c r="W52" s="20"/>
      <c r="X52" s="22" t="s">
        <v>8</v>
      </c>
      <c r="Y52" s="20"/>
      <c r="Z52" s="20"/>
      <c r="AA52" s="22" t="s">
        <v>8</v>
      </c>
      <c r="AB52" s="20"/>
      <c r="AC52" s="20"/>
      <c r="AD52" s="19" t="s">
        <v>8</v>
      </c>
      <c r="AE52" s="20"/>
      <c r="AF52" s="20"/>
      <c r="AG52" s="20"/>
      <c r="AH52" s="20"/>
      <c r="AI52" s="19" t="s">
        <v>8</v>
      </c>
      <c r="AJ52" s="20"/>
      <c r="AK52" s="20"/>
      <c r="AL52" s="20"/>
      <c r="AM52" s="19" t="s">
        <v>8</v>
      </c>
      <c r="AN52" s="20"/>
      <c r="AO52" s="19" t="s">
        <v>8</v>
      </c>
      <c r="AP52" s="20"/>
      <c r="AQ52" s="20"/>
      <c r="AR52" s="20"/>
      <c r="AS52" s="20"/>
      <c r="AT52" s="20"/>
      <c r="AU52" s="20"/>
      <c r="AV52" s="19" t="s">
        <v>8</v>
      </c>
      <c r="AW52" s="20"/>
      <c r="AX52" s="20"/>
      <c r="AY52" s="19" t="s">
        <v>8</v>
      </c>
      <c r="AZ52" s="20"/>
      <c r="BA52" s="20"/>
      <c r="BB52" s="20"/>
      <c r="BC52" s="20"/>
      <c r="BD52" s="19" t="s">
        <v>8</v>
      </c>
      <c r="BE52" s="20"/>
      <c r="BF52" s="20"/>
      <c r="BG52" s="20"/>
      <c r="BH52" s="20"/>
      <c r="BI52" s="20"/>
      <c r="BJ52" s="19" t="s">
        <v>8</v>
      </c>
      <c r="BK52" s="20"/>
      <c r="BL52" s="20"/>
      <c r="BM52" s="19" t="s">
        <v>8</v>
      </c>
      <c r="BN52" s="20"/>
      <c r="BO52" s="20"/>
      <c r="BP52" s="20"/>
      <c r="BQ52" s="20"/>
    </row>
    <row r="53" spans="1:69" x14ac:dyDescent="0.25">
      <c r="A53" s="12"/>
      <c r="B53" s="21" t="s">
        <v>99</v>
      </c>
      <c r="C53" s="20"/>
      <c r="D53" s="20"/>
      <c r="E53" s="20"/>
      <c r="F53" s="20"/>
      <c r="G53" s="20"/>
      <c r="H53" s="20"/>
      <c r="I53" s="21" t="s">
        <v>8</v>
      </c>
      <c r="J53" s="20"/>
      <c r="K53" s="20"/>
      <c r="L53" s="19" t="s">
        <v>8</v>
      </c>
      <c r="M53" s="20"/>
      <c r="N53" s="20"/>
      <c r="O53" s="19" t="s">
        <v>8</v>
      </c>
      <c r="P53" s="20"/>
      <c r="Q53" s="20"/>
      <c r="R53" s="20"/>
      <c r="S53" s="19" t="s">
        <v>8</v>
      </c>
      <c r="T53" s="20"/>
      <c r="U53" s="20"/>
      <c r="V53" s="21" t="s">
        <v>8</v>
      </c>
      <c r="W53" s="20"/>
      <c r="X53" s="22" t="s">
        <v>8</v>
      </c>
      <c r="Y53" s="20"/>
      <c r="Z53" s="20"/>
      <c r="AA53" s="22" t="s">
        <v>8</v>
      </c>
      <c r="AB53" s="20"/>
      <c r="AC53" s="20"/>
      <c r="AD53" s="19" t="s">
        <v>8</v>
      </c>
      <c r="AE53" s="20"/>
      <c r="AF53" s="20"/>
      <c r="AG53" s="20"/>
      <c r="AH53" s="20"/>
      <c r="AI53" s="19" t="s">
        <v>8</v>
      </c>
      <c r="AJ53" s="20"/>
      <c r="AK53" s="20"/>
      <c r="AL53" s="20"/>
      <c r="AM53" s="19" t="s">
        <v>8</v>
      </c>
      <c r="AN53" s="20"/>
      <c r="AO53" s="19" t="s">
        <v>8</v>
      </c>
      <c r="AP53" s="20"/>
      <c r="AQ53" s="20"/>
      <c r="AR53" s="20"/>
      <c r="AS53" s="20"/>
      <c r="AT53" s="20"/>
      <c r="AU53" s="20"/>
      <c r="AV53" s="19" t="s">
        <v>8</v>
      </c>
      <c r="AW53" s="20"/>
      <c r="AX53" s="20"/>
      <c r="AY53" s="19" t="s">
        <v>8</v>
      </c>
      <c r="AZ53" s="20"/>
      <c r="BA53" s="20"/>
      <c r="BB53" s="20"/>
      <c r="BC53" s="20"/>
      <c r="BD53" s="19" t="s">
        <v>8</v>
      </c>
      <c r="BE53" s="20"/>
      <c r="BF53" s="20"/>
      <c r="BG53" s="20"/>
      <c r="BH53" s="20"/>
      <c r="BI53" s="20"/>
      <c r="BJ53" s="19" t="s">
        <v>8</v>
      </c>
      <c r="BK53" s="20"/>
      <c r="BL53" s="20"/>
      <c r="BM53" s="19" t="s">
        <v>8</v>
      </c>
      <c r="BN53" s="20"/>
      <c r="BO53" s="20"/>
      <c r="BP53" s="20"/>
      <c r="BQ53" s="20"/>
    </row>
    <row r="54" spans="1:69" x14ac:dyDescent="0.25">
      <c r="A54" s="12"/>
      <c r="B54" s="4" t="s">
        <v>100</v>
      </c>
      <c r="C54" s="13">
        <v>45265</v>
      </c>
      <c r="D54" s="12"/>
      <c r="E54" s="12"/>
      <c r="F54" s="14" t="s">
        <v>101</v>
      </c>
      <c r="G54" s="12"/>
      <c r="H54" s="12"/>
      <c r="I54" s="14" t="s">
        <v>102</v>
      </c>
      <c r="J54" s="12"/>
      <c r="K54" s="12"/>
      <c r="L54" s="15">
        <v>14.4225750000027</v>
      </c>
      <c r="M54" s="12"/>
      <c r="N54" s="12"/>
      <c r="O54" s="15">
        <v>1.4560554438411999</v>
      </c>
      <c r="P54" s="12"/>
      <c r="Q54" s="12"/>
      <c r="R54" s="12"/>
      <c r="S54" s="16">
        <v>2</v>
      </c>
      <c r="T54" s="12"/>
      <c r="U54" s="12"/>
      <c r="V54" s="14" t="s">
        <v>73</v>
      </c>
      <c r="W54" s="12"/>
      <c r="X54" s="13">
        <v>45265</v>
      </c>
      <c r="Y54" s="12"/>
      <c r="Z54" s="12"/>
      <c r="AA54" s="13">
        <v>45996</v>
      </c>
      <c r="AB54" s="12"/>
      <c r="AC54" s="12"/>
      <c r="AD54" s="15">
        <v>46</v>
      </c>
      <c r="AE54" s="12"/>
      <c r="AF54" s="12"/>
      <c r="AG54" s="12"/>
      <c r="AH54" s="12"/>
      <c r="AI54" s="17">
        <v>113526.90863384301</v>
      </c>
      <c r="AJ54" s="12"/>
      <c r="AK54" s="12"/>
      <c r="AL54" s="12"/>
      <c r="AM54" s="11">
        <v>500000</v>
      </c>
      <c r="AN54" s="12"/>
      <c r="AO54" s="11">
        <v>0</v>
      </c>
      <c r="AP54" s="12"/>
      <c r="AQ54" s="12"/>
      <c r="AR54" s="12"/>
      <c r="AS54" s="12"/>
      <c r="AT54" s="12"/>
      <c r="AU54" s="12"/>
      <c r="AV54" s="23">
        <v>5222237.7971567782</v>
      </c>
      <c r="AW54" s="23"/>
      <c r="AX54" s="23"/>
      <c r="AY54" s="11">
        <v>0</v>
      </c>
      <c r="AZ54" s="12"/>
      <c r="BA54" s="12"/>
      <c r="BB54" s="12"/>
      <c r="BC54" s="12"/>
      <c r="BD54" s="11">
        <v>567634.54</v>
      </c>
      <c r="BE54" s="12"/>
      <c r="BF54" s="12"/>
      <c r="BG54" s="12"/>
      <c r="BH54" s="12"/>
      <c r="BI54" s="12"/>
      <c r="BJ54" s="11">
        <v>2.0299999999999998</v>
      </c>
      <c r="BK54" s="12"/>
      <c r="BL54" s="12"/>
      <c r="BM54" s="11">
        <v>1.38</v>
      </c>
      <c r="BN54" s="12"/>
      <c r="BO54" s="12"/>
      <c r="BP54" s="12"/>
      <c r="BQ54" s="12"/>
    </row>
    <row r="55" spans="1:69" x14ac:dyDescent="0.25">
      <c r="A55" s="12"/>
      <c r="B55" s="7" t="s">
        <v>103</v>
      </c>
      <c r="C55" s="6"/>
      <c r="D55" s="6"/>
      <c r="E55" s="6"/>
      <c r="F55" s="7" t="s">
        <v>8</v>
      </c>
      <c r="G55" s="6"/>
      <c r="H55" s="6"/>
      <c r="I55" s="7" t="s">
        <v>8</v>
      </c>
      <c r="J55" s="6"/>
      <c r="K55" s="6"/>
      <c r="L55" s="7" t="s">
        <v>8</v>
      </c>
      <c r="M55" s="6"/>
      <c r="N55" s="6"/>
      <c r="O55" s="7" t="s">
        <v>8</v>
      </c>
      <c r="P55" s="6"/>
      <c r="Q55" s="6"/>
      <c r="R55" s="6"/>
      <c r="S55" s="7" t="s">
        <v>8</v>
      </c>
      <c r="T55" s="6"/>
      <c r="U55" s="6"/>
      <c r="V55" s="7" t="s">
        <v>8</v>
      </c>
      <c r="W55" s="6"/>
      <c r="X55" s="8" t="s">
        <v>8</v>
      </c>
      <c r="Y55" s="6"/>
      <c r="Z55" s="6"/>
      <c r="AA55" s="8" t="s">
        <v>8</v>
      </c>
      <c r="AB55" s="6"/>
      <c r="AC55" s="6"/>
      <c r="AD55" s="9">
        <v>46</v>
      </c>
      <c r="AE55" s="6"/>
      <c r="AF55" s="6"/>
      <c r="AG55" s="6"/>
      <c r="AH55" s="6"/>
      <c r="AI55" s="7" t="s">
        <v>8</v>
      </c>
      <c r="AJ55" s="6"/>
      <c r="AK55" s="6"/>
      <c r="AL55" s="6"/>
      <c r="AM55" s="5">
        <v>500000</v>
      </c>
      <c r="AN55" s="6"/>
      <c r="AO55" s="5">
        <v>0</v>
      </c>
      <c r="AP55" s="6"/>
      <c r="AQ55" s="6"/>
      <c r="AR55" s="6"/>
      <c r="AS55" s="6"/>
      <c r="AT55" s="6"/>
      <c r="AU55" s="6"/>
      <c r="AV55" s="5">
        <v>5222237.7971567782</v>
      </c>
      <c r="AW55" s="5"/>
      <c r="AX55" s="5"/>
      <c r="AY55" s="5">
        <v>0</v>
      </c>
      <c r="AZ55" s="6"/>
      <c r="BA55" s="6"/>
      <c r="BB55" s="6"/>
      <c r="BC55" s="6"/>
      <c r="BD55" s="5">
        <v>567634.54</v>
      </c>
      <c r="BE55" s="6"/>
      <c r="BF55" s="6"/>
      <c r="BG55" s="6"/>
      <c r="BH55" s="6"/>
      <c r="BI55" s="6"/>
      <c r="BJ55" s="5">
        <v>2.0299999999999998</v>
      </c>
      <c r="BK55" s="6"/>
      <c r="BL55" s="6"/>
      <c r="BM55" s="5">
        <v>1.38</v>
      </c>
      <c r="BN55" s="6"/>
      <c r="BO55" s="6"/>
      <c r="BP55" s="6"/>
      <c r="BQ55" s="6"/>
    </row>
    <row r="56" spans="1:69" x14ac:dyDescent="0.25">
      <c r="A56" s="12"/>
      <c r="B56" s="21" t="s">
        <v>50</v>
      </c>
      <c r="C56" s="20"/>
      <c r="D56" s="20"/>
      <c r="E56" s="20"/>
      <c r="F56" s="21" t="s">
        <v>8</v>
      </c>
      <c r="G56" s="20"/>
      <c r="H56" s="20"/>
      <c r="I56" s="21" t="s">
        <v>8</v>
      </c>
      <c r="J56" s="20"/>
      <c r="K56" s="20"/>
      <c r="L56" s="19" t="s">
        <v>8</v>
      </c>
      <c r="M56" s="20"/>
      <c r="N56" s="20"/>
      <c r="O56" s="19" t="s">
        <v>8</v>
      </c>
      <c r="P56" s="20"/>
      <c r="Q56" s="20"/>
      <c r="R56" s="20"/>
      <c r="S56" s="19" t="s">
        <v>8</v>
      </c>
      <c r="T56" s="20"/>
      <c r="U56" s="20"/>
      <c r="V56" s="21" t="s">
        <v>8</v>
      </c>
      <c r="W56" s="20"/>
      <c r="X56" s="22" t="s">
        <v>8</v>
      </c>
      <c r="Y56" s="20"/>
      <c r="Z56" s="20"/>
      <c r="AA56" s="22" t="s">
        <v>8</v>
      </c>
      <c r="AB56" s="20"/>
      <c r="AC56" s="20"/>
      <c r="AD56" s="19" t="s">
        <v>8</v>
      </c>
      <c r="AE56" s="20"/>
      <c r="AF56" s="20"/>
      <c r="AG56" s="20"/>
      <c r="AH56" s="20"/>
      <c r="AI56" s="19" t="s">
        <v>8</v>
      </c>
      <c r="AJ56" s="20"/>
      <c r="AK56" s="20"/>
      <c r="AL56" s="20"/>
      <c r="AM56" s="19" t="s">
        <v>8</v>
      </c>
      <c r="AN56" s="20"/>
      <c r="AO56" s="19" t="s">
        <v>8</v>
      </c>
      <c r="AP56" s="20"/>
      <c r="AQ56" s="20"/>
      <c r="AR56" s="20"/>
      <c r="AS56" s="20"/>
      <c r="AT56" s="20"/>
      <c r="AU56" s="20"/>
      <c r="AV56" s="19" t="s">
        <v>8</v>
      </c>
      <c r="AW56" s="20"/>
      <c r="AX56" s="20"/>
      <c r="AY56" s="19" t="s">
        <v>8</v>
      </c>
      <c r="AZ56" s="20"/>
      <c r="BA56" s="20"/>
      <c r="BB56" s="20"/>
      <c r="BC56" s="20"/>
      <c r="BD56" s="19" t="s">
        <v>8</v>
      </c>
      <c r="BE56" s="20"/>
      <c r="BF56" s="20"/>
      <c r="BG56" s="20"/>
      <c r="BH56" s="20"/>
      <c r="BI56" s="20"/>
      <c r="BJ56" s="19" t="s">
        <v>8</v>
      </c>
      <c r="BK56" s="20"/>
      <c r="BL56" s="20"/>
      <c r="BM56" s="19" t="s">
        <v>8</v>
      </c>
      <c r="BN56" s="20"/>
      <c r="BO56" s="20"/>
      <c r="BP56" s="20"/>
      <c r="BQ56" s="20"/>
    </row>
    <row r="57" spans="1:69" x14ac:dyDescent="0.25">
      <c r="A57" s="12"/>
      <c r="B57" s="21" t="s">
        <v>104</v>
      </c>
      <c r="C57" s="20"/>
      <c r="D57" s="20"/>
      <c r="E57" s="20"/>
      <c r="F57" s="20"/>
      <c r="G57" s="20"/>
      <c r="H57" s="20"/>
      <c r="I57" s="21" t="s">
        <v>8</v>
      </c>
      <c r="J57" s="20"/>
      <c r="K57" s="20"/>
      <c r="L57" s="19" t="s">
        <v>8</v>
      </c>
      <c r="M57" s="20"/>
      <c r="N57" s="20"/>
      <c r="O57" s="19" t="s">
        <v>8</v>
      </c>
      <c r="P57" s="20"/>
      <c r="Q57" s="20"/>
      <c r="R57" s="20"/>
      <c r="S57" s="19" t="s">
        <v>8</v>
      </c>
      <c r="T57" s="20"/>
      <c r="U57" s="20"/>
      <c r="V57" s="21" t="s">
        <v>8</v>
      </c>
      <c r="W57" s="20"/>
      <c r="X57" s="22" t="s">
        <v>8</v>
      </c>
      <c r="Y57" s="20"/>
      <c r="Z57" s="20"/>
      <c r="AA57" s="22" t="s">
        <v>8</v>
      </c>
      <c r="AB57" s="20"/>
      <c r="AC57" s="20"/>
      <c r="AD57" s="19" t="s">
        <v>8</v>
      </c>
      <c r="AE57" s="20"/>
      <c r="AF57" s="20"/>
      <c r="AG57" s="20"/>
      <c r="AH57" s="20"/>
      <c r="AI57" s="19" t="s">
        <v>8</v>
      </c>
      <c r="AJ57" s="20"/>
      <c r="AK57" s="20"/>
      <c r="AL57" s="20"/>
      <c r="AM57" s="19" t="s">
        <v>8</v>
      </c>
      <c r="AN57" s="20"/>
      <c r="AO57" s="19" t="s">
        <v>8</v>
      </c>
      <c r="AP57" s="20"/>
      <c r="AQ57" s="20"/>
      <c r="AR57" s="20"/>
      <c r="AS57" s="20"/>
      <c r="AT57" s="20"/>
      <c r="AU57" s="20"/>
      <c r="AV57" s="19" t="s">
        <v>8</v>
      </c>
      <c r="AW57" s="20"/>
      <c r="AX57" s="20"/>
      <c r="AY57" s="19" t="s">
        <v>8</v>
      </c>
      <c r="AZ57" s="20"/>
      <c r="BA57" s="20"/>
      <c r="BB57" s="20"/>
      <c r="BC57" s="20"/>
      <c r="BD57" s="19" t="s">
        <v>8</v>
      </c>
      <c r="BE57" s="20"/>
      <c r="BF57" s="20"/>
      <c r="BG57" s="20"/>
      <c r="BH57" s="20"/>
      <c r="BI57" s="20"/>
      <c r="BJ57" s="19" t="s">
        <v>8</v>
      </c>
      <c r="BK57" s="20"/>
      <c r="BL57" s="20"/>
      <c r="BM57" s="19" t="s">
        <v>8</v>
      </c>
      <c r="BN57" s="20"/>
      <c r="BO57" s="20"/>
      <c r="BP57" s="20"/>
      <c r="BQ57" s="20"/>
    </row>
    <row r="58" spans="1:69" x14ac:dyDescent="0.25">
      <c r="A58" s="12"/>
      <c r="B58" s="4" t="s">
        <v>105</v>
      </c>
      <c r="C58" s="13">
        <v>43486</v>
      </c>
      <c r="D58" s="12"/>
      <c r="E58" s="12"/>
      <c r="F58" s="14" t="s">
        <v>106</v>
      </c>
      <c r="G58" s="12"/>
      <c r="H58" s="12"/>
      <c r="I58" s="14" t="s">
        <v>107</v>
      </c>
      <c r="J58" s="12"/>
      <c r="K58" s="12"/>
      <c r="L58" s="15">
        <v>-1.5706464203590901E-2</v>
      </c>
      <c r="M58" s="12"/>
      <c r="N58" s="12"/>
      <c r="O58" s="15">
        <v>1.3763346319732901</v>
      </c>
      <c r="P58" s="12"/>
      <c r="Q58" s="12"/>
      <c r="R58" s="12"/>
      <c r="S58" s="16">
        <v>-0.10323501265469</v>
      </c>
      <c r="T58" s="12"/>
      <c r="U58" s="12"/>
      <c r="V58" s="14" t="s">
        <v>108</v>
      </c>
      <c r="W58" s="12"/>
      <c r="X58" s="13">
        <v>43417</v>
      </c>
      <c r="Y58" s="12"/>
      <c r="Z58" s="12"/>
      <c r="AA58" s="13">
        <v>55015</v>
      </c>
      <c r="AB58" s="12"/>
      <c r="AC58" s="12"/>
      <c r="AD58" s="15">
        <v>34</v>
      </c>
      <c r="AE58" s="12"/>
      <c r="AF58" s="12"/>
      <c r="AG58" s="12"/>
      <c r="AH58" s="12"/>
      <c r="AI58" s="17">
        <v>327283.87485999998</v>
      </c>
      <c r="AJ58" s="12"/>
      <c r="AK58" s="12"/>
      <c r="AL58" s="12"/>
      <c r="AM58" s="11">
        <v>313990.13</v>
      </c>
      <c r="AN58" s="12"/>
      <c r="AO58" s="11">
        <v>0</v>
      </c>
      <c r="AP58" s="12"/>
      <c r="AQ58" s="12"/>
      <c r="AR58" s="12"/>
      <c r="AS58" s="12"/>
      <c r="AT58" s="12"/>
      <c r="AU58" s="12"/>
      <c r="AV58" s="18">
        <v>11127651.745239999</v>
      </c>
      <c r="AW58" s="18"/>
      <c r="AX58" s="18"/>
      <c r="AY58" s="11">
        <v>0</v>
      </c>
      <c r="AZ58" s="12"/>
      <c r="BA58" s="12"/>
      <c r="BB58" s="12"/>
      <c r="BC58" s="12"/>
      <c r="BD58" s="11">
        <v>327283.87</v>
      </c>
      <c r="BE58" s="12"/>
      <c r="BF58" s="12"/>
      <c r="BG58" s="12"/>
      <c r="BH58" s="12"/>
      <c r="BI58" s="12"/>
      <c r="BJ58" s="11">
        <v>1.17</v>
      </c>
      <c r="BK58" s="12"/>
      <c r="BL58" s="12"/>
      <c r="BM58" s="11">
        <v>0.79</v>
      </c>
      <c r="BN58" s="12"/>
      <c r="BO58" s="12"/>
      <c r="BP58" s="12"/>
      <c r="BQ58" s="12"/>
    </row>
    <row r="59" spans="1:69" x14ac:dyDescent="0.25">
      <c r="A59" s="12"/>
      <c r="B59" s="4" t="s">
        <v>109</v>
      </c>
      <c r="C59" s="13">
        <v>43486</v>
      </c>
      <c r="D59" s="12"/>
      <c r="E59" s="12"/>
      <c r="F59" s="14" t="s">
        <v>106</v>
      </c>
      <c r="G59" s="12"/>
      <c r="H59" s="12"/>
      <c r="I59" s="14" t="s">
        <v>110</v>
      </c>
      <c r="J59" s="12"/>
      <c r="K59" s="12"/>
      <c r="L59" s="15">
        <v>-1.5706464203590901E-2</v>
      </c>
      <c r="M59" s="12"/>
      <c r="N59" s="12"/>
      <c r="O59" s="15">
        <v>1.3763346319732901</v>
      </c>
      <c r="P59" s="12"/>
      <c r="Q59" s="12"/>
      <c r="R59" s="12"/>
      <c r="S59" s="16">
        <v>-0.10323501265469</v>
      </c>
      <c r="T59" s="12"/>
      <c r="U59" s="12"/>
      <c r="V59" s="14" t="s">
        <v>108</v>
      </c>
      <c r="W59" s="12"/>
      <c r="X59" s="13">
        <v>43417</v>
      </c>
      <c r="Y59" s="12"/>
      <c r="Z59" s="12"/>
      <c r="AA59" s="13">
        <v>54862</v>
      </c>
      <c r="AB59" s="12"/>
      <c r="AC59" s="12"/>
      <c r="AD59" s="15">
        <v>63</v>
      </c>
      <c r="AE59" s="12"/>
      <c r="AF59" s="12"/>
      <c r="AG59" s="12"/>
      <c r="AH59" s="12"/>
      <c r="AI59" s="17">
        <v>327283.87485999998</v>
      </c>
      <c r="AJ59" s="12"/>
      <c r="AK59" s="12"/>
      <c r="AL59" s="12"/>
      <c r="AM59" s="11">
        <v>313990.13</v>
      </c>
      <c r="AN59" s="12"/>
      <c r="AO59" s="11">
        <v>0</v>
      </c>
      <c r="AP59" s="12"/>
      <c r="AQ59" s="12"/>
      <c r="AR59" s="12"/>
      <c r="AS59" s="12"/>
      <c r="AT59" s="12"/>
      <c r="AU59" s="12"/>
      <c r="AV59" s="11">
        <v>20618884.116179999</v>
      </c>
      <c r="AW59" s="11"/>
      <c r="AX59" s="11"/>
      <c r="AY59" s="11">
        <v>0</v>
      </c>
      <c r="AZ59" s="12"/>
      <c r="BA59" s="12"/>
      <c r="BB59" s="12"/>
      <c r="BC59" s="12"/>
      <c r="BD59" s="11">
        <v>327283.87</v>
      </c>
      <c r="BE59" s="12"/>
      <c r="BF59" s="12"/>
      <c r="BG59" s="12"/>
      <c r="BH59" s="12"/>
      <c r="BI59" s="12"/>
      <c r="BJ59" s="11">
        <v>1.17</v>
      </c>
      <c r="BK59" s="12"/>
      <c r="BL59" s="12"/>
      <c r="BM59" s="11">
        <v>0.79</v>
      </c>
      <c r="BN59" s="12"/>
      <c r="BO59" s="12"/>
      <c r="BP59" s="12"/>
      <c r="BQ59" s="12"/>
    </row>
    <row r="60" spans="1:69" x14ac:dyDescent="0.25">
      <c r="A60" s="12"/>
      <c r="B60" s="4" t="s">
        <v>111</v>
      </c>
      <c r="C60" s="13">
        <v>43486</v>
      </c>
      <c r="D60" s="12"/>
      <c r="E60" s="12"/>
      <c r="F60" s="14" t="s">
        <v>106</v>
      </c>
      <c r="G60" s="12"/>
      <c r="H60" s="12"/>
      <c r="I60" s="14" t="s">
        <v>112</v>
      </c>
      <c r="J60" s="12"/>
      <c r="K60" s="12"/>
      <c r="L60" s="15">
        <v>-1.5706464203590901E-2</v>
      </c>
      <c r="M60" s="12"/>
      <c r="N60" s="12"/>
      <c r="O60" s="15">
        <v>1.3763346319732901</v>
      </c>
      <c r="P60" s="12"/>
      <c r="Q60" s="12"/>
      <c r="R60" s="12"/>
      <c r="S60" s="16">
        <v>-0.10323501265469</v>
      </c>
      <c r="T60" s="12"/>
      <c r="U60" s="12"/>
      <c r="V60" s="14" t="s">
        <v>108</v>
      </c>
      <c r="W60" s="12"/>
      <c r="X60" s="13">
        <v>43417</v>
      </c>
      <c r="Y60" s="12"/>
      <c r="Z60" s="12"/>
      <c r="AA60" s="13">
        <v>55015</v>
      </c>
      <c r="AB60" s="12"/>
      <c r="AC60" s="12"/>
      <c r="AD60" s="15">
        <v>426</v>
      </c>
      <c r="AE60" s="12"/>
      <c r="AF60" s="12"/>
      <c r="AG60" s="12"/>
      <c r="AH60" s="12"/>
      <c r="AI60" s="17">
        <v>327283.87485999998</v>
      </c>
      <c r="AJ60" s="12"/>
      <c r="AK60" s="12"/>
      <c r="AL60" s="12"/>
      <c r="AM60" s="11">
        <v>313990.13</v>
      </c>
      <c r="AN60" s="12"/>
      <c r="AO60" s="11">
        <v>0</v>
      </c>
      <c r="AP60" s="12"/>
      <c r="AQ60" s="12"/>
      <c r="AR60" s="12"/>
      <c r="AS60" s="12"/>
      <c r="AT60" s="12"/>
      <c r="AU60" s="12"/>
      <c r="AV60" s="11">
        <v>139422930.69035998</v>
      </c>
      <c r="AW60" s="11"/>
      <c r="AX60" s="11"/>
      <c r="AY60" s="11">
        <v>0</v>
      </c>
      <c r="AZ60" s="12"/>
      <c r="BA60" s="12"/>
      <c r="BB60" s="12"/>
      <c r="BC60" s="12"/>
      <c r="BD60" s="11">
        <v>327283.87</v>
      </c>
      <c r="BE60" s="12"/>
      <c r="BF60" s="12"/>
      <c r="BG60" s="12"/>
      <c r="BH60" s="12"/>
      <c r="BI60" s="12"/>
      <c r="BJ60" s="11">
        <v>1.17</v>
      </c>
      <c r="BK60" s="12"/>
      <c r="BL60" s="12"/>
      <c r="BM60" s="11">
        <v>0.79</v>
      </c>
      <c r="BN60" s="12"/>
      <c r="BO60" s="12"/>
      <c r="BP60" s="12"/>
      <c r="BQ60" s="12"/>
    </row>
    <row r="61" spans="1:69" x14ac:dyDescent="0.25">
      <c r="A61" s="12"/>
      <c r="B61" s="4" t="s">
        <v>113</v>
      </c>
      <c r="C61" s="13">
        <v>43486</v>
      </c>
      <c r="D61" s="12"/>
      <c r="E61" s="12"/>
      <c r="F61" s="14" t="s">
        <v>106</v>
      </c>
      <c r="G61" s="12"/>
      <c r="H61" s="12"/>
      <c r="I61" s="14" t="s">
        <v>114</v>
      </c>
      <c r="J61" s="12"/>
      <c r="K61" s="12"/>
      <c r="L61" s="15">
        <v>-1.5706464203590901E-2</v>
      </c>
      <c r="M61" s="12"/>
      <c r="N61" s="12"/>
      <c r="O61" s="15">
        <v>1.3763346319732901</v>
      </c>
      <c r="P61" s="12"/>
      <c r="Q61" s="12"/>
      <c r="R61" s="12"/>
      <c r="S61" s="16">
        <v>-0.10323501265469</v>
      </c>
      <c r="T61" s="12"/>
      <c r="U61" s="12"/>
      <c r="V61" s="14" t="s">
        <v>108</v>
      </c>
      <c r="W61" s="12"/>
      <c r="X61" s="13">
        <v>43417</v>
      </c>
      <c r="Y61" s="12"/>
      <c r="Z61" s="12"/>
      <c r="AA61" s="13">
        <v>54862</v>
      </c>
      <c r="AB61" s="12"/>
      <c r="AC61" s="12"/>
      <c r="AD61" s="15">
        <v>273</v>
      </c>
      <c r="AE61" s="12"/>
      <c r="AF61" s="12"/>
      <c r="AG61" s="12"/>
      <c r="AH61" s="12"/>
      <c r="AI61" s="17">
        <v>327283.87485999998</v>
      </c>
      <c r="AJ61" s="12"/>
      <c r="AK61" s="12"/>
      <c r="AL61" s="12"/>
      <c r="AM61" s="11">
        <v>313990.13</v>
      </c>
      <c r="AN61" s="12"/>
      <c r="AO61" s="11">
        <v>0</v>
      </c>
      <c r="AP61" s="12"/>
      <c r="AQ61" s="12"/>
      <c r="AR61" s="12"/>
      <c r="AS61" s="12"/>
      <c r="AT61" s="12"/>
      <c r="AU61" s="12"/>
      <c r="AV61" s="10">
        <v>89348497.836779997</v>
      </c>
      <c r="AW61" s="10"/>
      <c r="AX61" s="10"/>
      <c r="AY61" s="11">
        <v>0</v>
      </c>
      <c r="AZ61" s="12"/>
      <c r="BA61" s="12"/>
      <c r="BB61" s="12"/>
      <c r="BC61" s="12"/>
      <c r="BD61" s="11">
        <v>327283.87</v>
      </c>
      <c r="BE61" s="12"/>
      <c r="BF61" s="12"/>
      <c r="BG61" s="12"/>
      <c r="BH61" s="12"/>
      <c r="BI61" s="12"/>
      <c r="BJ61" s="11">
        <v>1.17</v>
      </c>
      <c r="BK61" s="12"/>
      <c r="BL61" s="12"/>
      <c r="BM61" s="11">
        <v>0.79</v>
      </c>
      <c r="BN61" s="12"/>
      <c r="BO61" s="12"/>
      <c r="BP61" s="12"/>
      <c r="BQ61" s="12"/>
    </row>
    <row r="62" spans="1:69" x14ac:dyDescent="0.25">
      <c r="A62" s="12"/>
      <c r="B62" s="7" t="s">
        <v>115</v>
      </c>
      <c r="C62" s="6"/>
      <c r="D62" s="6"/>
      <c r="E62" s="6"/>
      <c r="F62" s="7" t="s">
        <v>8</v>
      </c>
      <c r="G62" s="6"/>
      <c r="H62" s="6"/>
      <c r="I62" s="7" t="s">
        <v>8</v>
      </c>
      <c r="J62" s="6"/>
      <c r="K62" s="6"/>
      <c r="L62" s="7" t="s">
        <v>8</v>
      </c>
      <c r="M62" s="6"/>
      <c r="N62" s="6"/>
      <c r="O62" s="7" t="s">
        <v>8</v>
      </c>
      <c r="P62" s="6"/>
      <c r="Q62" s="6"/>
      <c r="R62" s="6"/>
      <c r="S62" s="7" t="s">
        <v>8</v>
      </c>
      <c r="T62" s="6"/>
      <c r="U62" s="6"/>
      <c r="V62" s="7" t="s">
        <v>8</v>
      </c>
      <c r="W62" s="6"/>
      <c r="X62" s="8" t="s">
        <v>8</v>
      </c>
      <c r="Y62" s="6"/>
      <c r="Z62" s="6"/>
      <c r="AA62" s="8" t="s">
        <v>8</v>
      </c>
      <c r="AB62" s="6"/>
      <c r="AC62" s="6"/>
      <c r="AD62" s="9">
        <v>796</v>
      </c>
      <c r="AE62" s="6"/>
      <c r="AF62" s="6"/>
      <c r="AG62" s="6"/>
      <c r="AH62" s="6"/>
      <c r="AI62" s="7" t="s">
        <v>8</v>
      </c>
      <c r="AJ62" s="6"/>
      <c r="AK62" s="6"/>
      <c r="AL62" s="6"/>
      <c r="AM62" s="5">
        <v>1255960.52</v>
      </c>
      <c r="AN62" s="6"/>
      <c r="AO62" s="5">
        <v>0</v>
      </c>
      <c r="AP62" s="6"/>
      <c r="AQ62" s="6"/>
      <c r="AR62" s="6"/>
      <c r="AS62" s="6"/>
      <c r="AT62" s="6"/>
      <c r="AU62" s="6"/>
      <c r="AV62" s="5">
        <v>260517964.38856</v>
      </c>
      <c r="AW62" s="5"/>
      <c r="AX62" s="5"/>
      <c r="AY62" s="5">
        <v>0</v>
      </c>
      <c r="AZ62" s="6"/>
      <c r="BA62" s="6"/>
      <c r="BB62" s="6"/>
      <c r="BC62" s="6"/>
      <c r="BD62" s="5">
        <v>1309135.48</v>
      </c>
      <c r="BE62" s="6"/>
      <c r="BF62" s="6"/>
      <c r="BG62" s="6"/>
      <c r="BH62" s="6"/>
      <c r="BI62" s="6"/>
      <c r="BJ62" s="5">
        <v>4.68</v>
      </c>
      <c r="BK62" s="6"/>
      <c r="BL62" s="6"/>
      <c r="BM62" s="5">
        <v>3.16</v>
      </c>
      <c r="BN62" s="6"/>
      <c r="BO62" s="6"/>
      <c r="BP62" s="6"/>
      <c r="BQ62" s="6"/>
    </row>
    <row r="63" spans="1:69" x14ac:dyDescent="0.25">
      <c r="A63" s="12"/>
      <c r="B63" s="21" t="s">
        <v>50</v>
      </c>
      <c r="C63" s="20"/>
      <c r="D63" s="20"/>
      <c r="E63" s="20"/>
      <c r="F63" s="21" t="s">
        <v>8</v>
      </c>
      <c r="G63" s="20"/>
      <c r="H63" s="20"/>
      <c r="I63" s="21" t="s">
        <v>8</v>
      </c>
      <c r="J63" s="20"/>
      <c r="K63" s="20"/>
      <c r="L63" s="19" t="s">
        <v>8</v>
      </c>
      <c r="M63" s="20"/>
      <c r="N63" s="20"/>
      <c r="O63" s="19" t="s">
        <v>8</v>
      </c>
      <c r="P63" s="20"/>
      <c r="Q63" s="20"/>
      <c r="R63" s="20"/>
      <c r="S63" s="19" t="s">
        <v>8</v>
      </c>
      <c r="T63" s="20"/>
      <c r="U63" s="20"/>
      <c r="V63" s="21" t="s">
        <v>8</v>
      </c>
      <c r="W63" s="20"/>
      <c r="X63" s="22" t="s">
        <v>8</v>
      </c>
      <c r="Y63" s="20"/>
      <c r="Z63" s="20"/>
      <c r="AA63" s="22" t="s">
        <v>8</v>
      </c>
      <c r="AB63" s="20"/>
      <c r="AC63" s="20"/>
      <c r="AD63" s="19" t="s">
        <v>8</v>
      </c>
      <c r="AE63" s="20"/>
      <c r="AF63" s="20"/>
      <c r="AG63" s="20"/>
      <c r="AH63" s="20"/>
      <c r="AI63" s="19" t="s">
        <v>8</v>
      </c>
      <c r="AJ63" s="20"/>
      <c r="AK63" s="20"/>
      <c r="AL63" s="20"/>
      <c r="AM63" s="19" t="s">
        <v>8</v>
      </c>
      <c r="AN63" s="20"/>
      <c r="AO63" s="19" t="s">
        <v>8</v>
      </c>
      <c r="AP63" s="20"/>
      <c r="AQ63" s="20"/>
      <c r="AR63" s="20"/>
      <c r="AS63" s="20"/>
      <c r="AT63" s="20"/>
      <c r="AU63" s="20"/>
      <c r="AV63" s="19" t="s">
        <v>8</v>
      </c>
      <c r="AW63" s="20"/>
      <c r="AX63" s="20"/>
      <c r="AY63" s="19" t="s">
        <v>8</v>
      </c>
      <c r="AZ63" s="20"/>
      <c r="BA63" s="20"/>
      <c r="BB63" s="20"/>
      <c r="BC63" s="20"/>
      <c r="BD63" s="19" t="s">
        <v>8</v>
      </c>
      <c r="BE63" s="20"/>
      <c r="BF63" s="20"/>
      <c r="BG63" s="20"/>
      <c r="BH63" s="20"/>
      <c r="BI63" s="20"/>
      <c r="BJ63" s="19" t="s">
        <v>8</v>
      </c>
      <c r="BK63" s="20"/>
      <c r="BL63" s="20"/>
      <c r="BM63" s="19" t="s">
        <v>8</v>
      </c>
      <c r="BN63" s="20"/>
      <c r="BO63" s="20"/>
      <c r="BP63" s="20"/>
      <c r="BQ63" s="20"/>
    </row>
    <row r="64" spans="1:69" x14ac:dyDescent="0.25">
      <c r="A64" s="12"/>
      <c r="B64" s="21" t="s">
        <v>116</v>
      </c>
      <c r="C64" s="20"/>
      <c r="D64" s="20"/>
      <c r="E64" s="20"/>
      <c r="F64" s="20"/>
      <c r="G64" s="20"/>
      <c r="H64" s="20"/>
      <c r="I64" s="21" t="s">
        <v>8</v>
      </c>
      <c r="J64" s="20"/>
      <c r="K64" s="20"/>
      <c r="L64" s="19" t="s">
        <v>8</v>
      </c>
      <c r="M64" s="20"/>
      <c r="N64" s="20"/>
      <c r="O64" s="19" t="s">
        <v>8</v>
      </c>
      <c r="P64" s="20"/>
      <c r="Q64" s="20"/>
      <c r="R64" s="20"/>
      <c r="S64" s="19" t="s">
        <v>8</v>
      </c>
      <c r="T64" s="20"/>
      <c r="U64" s="20"/>
      <c r="V64" s="21" t="s">
        <v>8</v>
      </c>
      <c r="W64" s="20"/>
      <c r="X64" s="22" t="s">
        <v>8</v>
      </c>
      <c r="Y64" s="20"/>
      <c r="Z64" s="20"/>
      <c r="AA64" s="22" t="s">
        <v>8</v>
      </c>
      <c r="AB64" s="20"/>
      <c r="AC64" s="20"/>
      <c r="AD64" s="19" t="s">
        <v>8</v>
      </c>
      <c r="AE64" s="20"/>
      <c r="AF64" s="20"/>
      <c r="AG64" s="20"/>
      <c r="AH64" s="20"/>
      <c r="AI64" s="19" t="s">
        <v>8</v>
      </c>
      <c r="AJ64" s="20"/>
      <c r="AK64" s="20"/>
      <c r="AL64" s="20"/>
      <c r="AM64" s="19" t="s">
        <v>8</v>
      </c>
      <c r="AN64" s="20"/>
      <c r="AO64" s="19" t="s">
        <v>8</v>
      </c>
      <c r="AP64" s="20"/>
      <c r="AQ64" s="20"/>
      <c r="AR64" s="20"/>
      <c r="AS64" s="20"/>
      <c r="AT64" s="20"/>
      <c r="AU64" s="20"/>
      <c r="AV64" s="19" t="s">
        <v>8</v>
      </c>
      <c r="AW64" s="20"/>
      <c r="AX64" s="20"/>
      <c r="AY64" s="19" t="s">
        <v>8</v>
      </c>
      <c r="AZ64" s="20"/>
      <c r="BA64" s="20"/>
      <c r="BB64" s="20"/>
      <c r="BC64" s="20"/>
      <c r="BD64" s="19" t="s">
        <v>8</v>
      </c>
      <c r="BE64" s="20"/>
      <c r="BF64" s="20"/>
      <c r="BG64" s="20"/>
      <c r="BH64" s="20"/>
      <c r="BI64" s="20"/>
      <c r="BJ64" s="19" t="s">
        <v>8</v>
      </c>
      <c r="BK64" s="20"/>
      <c r="BL64" s="20"/>
      <c r="BM64" s="19" t="s">
        <v>8</v>
      </c>
      <c r="BN64" s="20"/>
      <c r="BO64" s="20"/>
      <c r="BP64" s="20"/>
      <c r="BQ64" s="20"/>
    </row>
    <row r="65" spans="1:69" x14ac:dyDescent="0.25">
      <c r="A65" s="12"/>
      <c r="B65" s="4" t="s">
        <v>117</v>
      </c>
      <c r="C65" s="13">
        <v>43403</v>
      </c>
      <c r="D65" s="12"/>
      <c r="E65" s="12"/>
      <c r="F65" s="14" t="s">
        <v>118</v>
      </c>
      <c r="G65" s="12"/>
      <c r="H65" s="12"/>
      <c r="I65" s="14" t="s">
        <v>119</v>
      </c>
      <c r="J65" s="12"/>
      <c r="K65" s="12"/>
      <c r="L65" s="15">
        <v>13.4976070000021</v>
      </c>
      <c r="M65" s="12"/>
      <c r="N65" s="12"/>
      <c r="O65" s="15">
        <v>2.1308156805057701</v>
      </c>
      <c r="P65" s="12"/>
      <c r="Q65" s="12"/>
      <c r="R65" s="12"/>
      <c r="S65" s="16">
        <v>10.9</v>
      </c>
      <c r="T65" s="12"/>
      <c r="U65" s="12"/>
      <c r="V65" s="14" t="s">
        <v>120</v>
      </c>
      <c r="W65" s="12"/>
      <c r="X65" s="13">
        <v>43403</v>
      </c>
      <c r="Y65" s="12"/>
      <c r="Z65" s="12"/>
      <c r="AA65" s="13">
        <v>45960</v>
      </c>
      <c r="AB65" s="12"/>
      <c r="AC65" s="12"/>
      <c r="AD65" s="15">
        <v>77</v>
      </c>
      <c r="AE65" s="12"/>
      <c r="AF65" s="12"/>
      <c r="AG65" s="12"/>
      <c r="AH65" s="12"/>
      <c r="AI65" s="17">
        <v>548323.54147046304</v>
      </c>
      <c r="AJ65" s="12"/>
      <c r="AK65" s="12"/>
      <c r="AL65" s="12"/>
      <c r="AM65" s="11">
        <v>1500000</v>
      </c>
      <c r="AN65" s="12"/>
      <c r="AO65" s="11">
        <v>0</v>
      </c>
      <c r="AP65" s="12"/>
      <c r="AQ65" s="12"/>
      <c r="AR65" s="12"/>
      <c r="AS65" s="12"/>
      <c r="AT65" s="12"/>
      <c r="AU65" s="12"/>
      <c r="AV65" s="23">
        <v>42220912.693225652</v>
      </c>
      <c r="AW65" s="23"/>
      <c r="AX65" s="23"/>
      <c r="AY65" s="11">
        <v>0</v>
      </c>
      <c r="AZ65" s="12"/>
      <c r="BA65" s="12"/>
      <c r="BB65" s="12"/>
      <c r="BC65" s="12"/>
      <c r="BD65" s="11">
        <v>2741617.7</v>
      </c>
      <c r="BE65" s="12"/>
      <c r="BF65" s="12"/>
      <c r="BG65" s="12"/>
      <c r="BH65" s="12"/>
      <c r="BI65" s="12"/>
      <c r="BJ65" s="11">
        <v>9.8000000000000007</v>
      </c>
      <c r="BK65" s="12"/>
      <c r="BL65" s="12"/>
      <c r="BM65" s="11">
        <v>6.65</v>
      </c>
      <c r="BN65" s="12"/>
      <c r="BO65" s="12"/>
      <c r="BP65" s="12"/>
      <c r="BQ65" s="12"/>
    </row>
    <row r="66" spans="1:69" x14ac:dyDescent="0.25">
      <c r="A66" s="12"/>
      <c r="B66" s="7" t="s">
        <v>121</v>
      </c>
      <c r="C66" s="6"/>
      <c r="D66" s="6"/>
      <c r="E66" s="6"/>
      <c r="F66" s="7" t="s">
        <v>8</v>
      </c>
      <c r="G66" s="6"/>
      <c r="H66" s="6"/>
      <c r="I66" s="7" t="s">
        <v>8</v>
      </c>
      <c r="J66" s="6"/>
      <c r="K66" s="6"/>
      <c r="L66" s="7" t="s">
        <v>8</v>
      </c>
      <c r="M66" s="6"/>
      <c r="N66" s="6"/>
      <c r="O66" s="7" t="s">
        <v>8</v>
      </c>
      <c r="P66" s="6"/>
      <c r="Q66" s="6"/>
      <c r="R66" s="6"/>
      <c r="S66" s="7" t="s">
        <v>8</v>
      </c>
      <c r="T66" s="6"/>
      <c r="U66" s="6"/>
      <c r="V66" s="7" t="s">
        <v>8</v>
      </c>
      <c r="W66" s="6"/>
      <c r="X66" s="8" t="s">
        <v>8</v>
      </c>
      <c r="Y66" s="6"/>
      <c r="Z66" s="6"/>
      <c r="AA66" s="8" t="s">
        <v>8</v>
      </c>
      <c r="AB66" s="6"/>
      <c r="AC66" s="6"/>
      <c r="AD66" s="9">
        <v>77</v>
      </c>
      <c r="AE66" s="6"/>
      <c r="AF66" s="6"/>
      <c r="AG66" s="6"/>
      <c r="AH66" s="6"/>
      <c r="AI66" s="7" t="s">
        <v>8</v>
      </c>
      <c r="AJ66" s="6"/>
      <c r="AK66" s="6"/>
      <c r="AL66" s="6"/>
      <c r="AM66" s="5">
        <v>1500000</v>
      </c>
      <c r="AN66" s="6"/>
      <c r="AO66" s="5">
        <v>0</v>
      </c>
      <c r="AP66" s="6"/>
      <c r="AQ66" s="6"/>
      <c r="AR66" s="6"/>
      <c r="AS66" s="6"/>
      <c r="AT66" s="6"/>
      <c r="AU66" s="6"/>
      <c r="AV66" s="5">
        <v>42220912.693225652</v>
      </c>
      <c r="AW66" s="5"/>
      <c r="AX66" s="5"/>
      <c r="AY66" s="5">
        <v>0</v>
      </c>
      <c r="AZ66" s="6"/>
      <c r="BA66" s="6"/>
      <c r="BB66" s="6"/>
      <c r="BC66" s="6"/>
      <c r="BD66" s="5">
        <v>2741617.7</v>
      </c>
      <c r="BE66" s="6"/>
      <c r="BF66" s="6"/>
      <c r="BG66" s="6"/>
      <c r="BH66" s="6"/>
      <c r="BI66" s="6"/>
      <c r="BJ66" s="5">
        <v>9.8000000000000007</v>
      </c>
      <c r="BK66" s="6"/>
      <c r="BL66" s="6"/>
      <c r="BM66" s="5">
        <v>6.65</v>
      </c>
      <c r="BN66" s="6"/>
      <c r="BO66" s="6"/>
      <c r="BP66" s="6"/>
      <c r="BQ66" s="6"/>
    </row>
    <row r="67" spans="1:69" x14ac:dyDescent="0.25">
      <c r="A67" s="12"/>
      <c r="B67" s="21" t="s">
        <v>50</v>
      </c>
      <c r="C67" s="20"/>
      <c r="D67" s="20"/>
      <c r="E67" s="20"/>
      <c r="F67" s="21" t="s">
        <v>8</v>
      </c>
      <c r="G67" s="20"/>
      <c r="H67" s="20"/>
      <c r="I67" s="21" t="s">
        <v>8</v>
      </c>
      <c r="J67" s="20"/>
      <c r="K67" s="20"/>
      <c r="L67" s="19" t="s">
        <v>8</v>
      </c>
      <c r="M67" s="20"/>
      <c r="N67" s="20"/>
      <c r="O67" s="19" t="s">
        <v>8</v>
      </c>
      <c r="P67" s="20"/>
      <c r="Q67" s="20"/>
      <c r="R67" s="20"/>
      <c r="S67" s="19" t="s">
        <v>8</v>
      </c>
      <c r="T67" s="20"/>
      <c r="U67" s="20"/>
      <c r="V67" s="21" t="s">
        <v>8</v>
      </c>
      <c r="W67" s="20"/>
      <c r="X67" s="22" t="s">
        <v>8</v>
      </c>
      <c r="Y67" s="20"/>
      <c r="Z67" s="20"/>
      <c r="AA67" s="22" t="s">
        <v>8</v>
      </c>
      <c r="AB67" s="20"/>
      <c r="AC67" s="20"/>
      <c r="AD67" s="19" t="s">
        <v>8</v>
      </c>
      <c r="AE67" s="20"/>
      <c r="AF67" s="20"/>
      <c r="AG67" s="20"/>
      <c r="AH67" s="20"/>
      <c r="AI67" s="19" t="s">
        <v>8</v>
      </c>
      <c r="AJ67" s="20"/>
      <c r="AK67" s="20"/>
      <c r="AL67" s="20"/>
      <c r="AM67" s="19" t="s">
        <v>8</v>
      </c>
      <c r="AN67" s="20"/>
      <c r="AO67" s="19" t="s">
        <v>8</v>
      </c>
      <c r="AP67" s="20"/>
      <c r="AQ67" s="20"/>
      <c r="AR67" s="20"/>
      <c r="AS67" s="20"/>
      <c r="AT67" s="20"/>
      <c r="AU67" s="20"/>
      <c r="AV67" s="19" t="s">
        <v>8</v>
      </c>
      <c r="AW67" s="20"/>
      <c r="AX67" s="20"/>
      <c r="AY67" s="19" t="s">
        <v>8</v>
      </c>
      <c r="AZ67" s="20"/>
      <c r="BA67" s="20"/>
      <c r="BB67" s="20"/>
      <c r="BC67" s="20"/>
      <c r="BD67" s="19" t="s">
        <v>8</v>
      </c>
      <c r="BE67" s="20"/>
      <c r="BF67" s="20"/>
      <c r="BG67" s="20"/>
      <c r="BH67" s="20"/>
      <c r="BI67" s="20"/>
      <c r="BJ67" s="19" t="s">
        <v>8</v>
      </c>
      <c r="BK67" s="20"/>
      <c r="BL67" s="20"/>
      <c r="BM67" s="19" t="s">
        <v>8</v>
      </c>
      <c r="BN67" s="20"/>
      <c r="BO67" s="20"/>
      <c r="BP67" s="20"/>
      <c r="BQ67" s="20"/>
    </row>
    <row r="68" spans="1:69" x14ac:dyDescent="0.25">
      <c r="A68" s="12"/>
      <c r="B68" s="21" t="s">
        <v>122</v>
      </c>
      <c r="C68" s="20"/>
      <c r="D68" s="20"/>
      <c r="E68" s="20"/>
      <c r="F68" s="20"/>
      <c r="G68" s="20"/>
      <c r="H68" s="20"/>
      <c r="I68" s="21" t="s">
        <v>8</v>
      </c>
      <c r="J68" s="20"/>
      <c r="K68" s="20"/>
      <c r="L68" s="19" t="s">
        <v>8</v>
      </c>
      <c r="M68" s="20"/>
      <c r="N68" s="20"/>
      <c r="O68" s="19" t="s">
        <v>8</v>
      </c>
      <c r="P68" s="20"/>
      <c r="Q68" s="20"/>
      <c r="R68" s="20"/>
      <c r="S68" s="19" t="s">
        <v>8</v>
      </c>
      <c r="T68" s="20"/>
      <c r="U68" s="20"/>
      <c r="V68" s="21" t="s">
        <v>8</v>
      </c>
      <c r="W68" s="20"/>
      <c r="X68" s="22" t="s">
        <v>8</v>
      </c>
      <c r="Y68" s="20"/>
      <c r="Z68" s="20"/>
      <c r="AA68" s="22" t="s">
        <v>8</v>
      </c>
      <c r="AB68" s="20"/>
      <c r="AC68" s="20"/>
      <c r="AD68" s="19" t="s">
        <v>8</v>
      </c>
      <c r="AE68" s="20"/>
      <c r="AF68" s="20"/>
      <c r="AG68" s="20"/>
      <c r="AH68" s="20"/>
      <c r="AI68" s="19" t="s">
        <v>8</v>
      </c>
      <c r="AJ68" s="20"/>
      <c r="AK68" s="20"/>
      <c r="AL68" s="20"/>
      <c r="AM68" s="19" t="s">
        <v>8</v>
      </c>
      <c r="AN68" s="20"/>
      <c r="AO68" s="19" t="s">
        <v>8</v>
      </c>
      <c r="AP68" s="20"/>
      <c r="AQ68" s="20"/>
      <c r="AR68" s="20"/>
      <c r="AS68" s="20"/>
      <c r="AT68" s="20"/>
      <c r="AU68" s="20"/>
      <c r="AV68" s="19" t="s">
        <v>8</v>
      </c>
      <c r="AW68" s="20"/>
      <c r="AX68" s="20"/>
      <c r="AY68" s="19" t="s">
        <v>8</v>
      </c>
      <c r="AZ68" s="20"/>
      <c r="BA68" s="20"/>
      <c r="BB68" s="20"/>
      <c r="BC68" s="20"/>
      <c r="BD68" s="19" t="s">
        <v>8</v>
      </c>
      <c r="BE68" s="20"/>
      <c r="BF68" s="20"/>
      <c r="BG68" s="20"/>
      <c r="BH68" s="20"/>
      <c r="BI68" s="20"/>
      <c r="BJ68" s="19" t="s">
        <v>8</v>
      </c>
      <c r="BK68" s="20"/>
      <c r="BL68" s="20"/>
      <c r="BM68" s="19" t="s">
        <v>8</v>
      </c>
      <c r="BN68" s="20"/>
      <c r="BO68" s="20"/>
      <c r="BP68" s="20"/>
      <c r="BQ68" s="20"/>
    </row>
    <row r="69" spans="1:69" x14ac:dyDescent="0.25">
      <c r="A69" s="12"/>
      <c r="B69" s="4" t="s">
        <v>123</v>
      </c>
      <c r="C69" s="13">
        <v>44893</v>
      </c>
      <c r="D69" s="12"/>
      <c r="E69" s="12"/>
      <c r="F69" s="14" t="s">
        <v>124</v>
      </c>
      <c r="G69" s="12"/>
      <c r="H69" s="12"/>
      <c r="I69" s="14" t="s">
        <v>125</v>
      </c>
      <c r="J69" s="12"/>
      <c r="K69" s="12"/>
      <c r="L69" s="15">
        <v>-1.1675802953981001E-2</v>
      </c>
      <c r="M69" s="12"/>
      <c r="N69" s="12"/>
      <c r="O69" s="15">
        <v>1.2647120109596801</v>
      </c>
      <c r="P69" s="12"/>
      <c r="Q69" s="12"/>
      <c r="R69" s="12"/>
      <c r="S69" s="16">
        <v>6.1711087229676699E-2</v>
      </c>
      <c r="T69" s="12"/>
      <c r="U69" s="12"/>
      <c r="V69" s="14" t="s">
        <v>126</v>
      </c>
      <c r="W69" s="12"/>
      <c r="X69" s="13">
        <v>43532</v>
      </c>
      <c r="Y69" s="12"/>
      <c r="Z69" s="12"/>
      <c r="AA69" s="13">
        <v>45901</v>
      </c>
      <c r="AB69" s="12"/>
      <c r="AC69" s="12"/>
      <c r="AD69" s="15">
        <v>93</v>
      </c>
      <c r="AE69" s="12"/>
      <c r="AF69" s="12"/>
      <c r="AG69" s="12"/>
      <c r="AH69" s="12"/>
      <c r="AI69" s="17">
        <v>15637.779066999999</v>
      </c>
      <c r="AJ69" s="12"/>
      <c r="AK69" s="12"/>
      <c r="AL69" s="12"/>
      <c r="AM69" s="11">
        <v>709570.37</v>
      </c>
      <c r="AN69" s="12"/>
      <c r="AO69" s="11">
        <v>0</v>
      </c>
      <c r="AP69" s="12"/>
      <c r="AQ69" s="12"/>
      <c r="AR69" s="12"/>
      <c r="AS69" s="12"/>
      <c r="AT69" s="12"/>
      <c r="AU69" s="12"/>
      <c r="AV69" s="18">
        <v>1454313.4532309999</v>
      </c>
      <c r="AW69" s="18"/>
      <c r="AX69" s="18"/>
      <c r="AY69" s="11">
        <v>0</v>
      </c>
      <c r="AZ69" s="12"/>
      <c r="BA69" s="12"/>
      <c r="BB69" s="12"/>
      <c r="BC69" s="12"/>
      <c r="BD69" s="11">
        <v>891353.4</v>
      </c>
      <c r="BE69" s="12"/>
      <c r="BF69" s="12"/>
      <c r="BG69" s="12"/>
      <c r="BH69" s="12"/>
      <c r="BI69" s="12"/>
      <c r="BJ69" s="11">
        <v>3.19</v>
      </c>
      <c r="BK69" s="12"/>
      <c r="BL69" s="12"/>
      <c r="BM69" s="11">
        <v>2.16</v>
      </c>
      <c r="BN69" s="12"/>
      <c r="BO69" s="12"/>
      <c r="BP69" s="12"/>
      <c r="BQ69" s="12"/>
    </row>
    <row r="70" spans="1:69" x14ac:dyDescent="0.25">
      <c r="A70" s="12"/>
      <c r="B70" s="4" t="s">
        <v>127</v>
      </c>
      <c r="C70" s="13">
        <v>44951</v>
      </c>
      <c r="D70" s="12"/>
      <c r="E70" s="12"/>
      <c r="F70" s="14" t="s">
        <v>124</v>
      </c>
      <c r="G70" s="12"/>
      <c r="H70" s="12"/>
      <c r="I70" s="14" t="s">
        <v>128</v>
      </c>
      <c r="J70" s="12"/>
      <c r="K70" s="12"/>
      <c r="L70" s="15">
        <v>9.8501596215472303E-2</v>
      </c>
      <c r="M70" s="12"/>
      <c r="N70" s="12"/>
      <c r="O70" s="15">
        <v>1.43946467439626</v>
      </c>
      <c r="P70" s="12"/>
      <c r="Q70" s="12"/>
      <c r="R70" s="12"/>
      <c r="S70" s="16">
        <v>0.173389286484982</v>
      </c>
      <c r="T70" s="12"/>
      <c r="U70" s="12"/>
      <c r="V70" s="14" t="s">
        <v>126</v>
      </c>
      <c r="W70" s="12"/>
      <c r="X70" s="13">
        <v>44657</v>
      </c>
      <c r="Y70" s="12"/>
      <c r="Z70" s="12"/>
      <c r="AA70" s="13">
        <v>46997</v>
      </c>
      <c r="AB70" s="12"/>
      <c r="AC70" s="12"/>
      <c r="AD70" s="15">
        <v>240</v>
      </c>
      <c r="AE70" s="12"/>
      <c r="AF70" s="12"/>
      <c r="AG70" s="12"/>
      <c r="AH70" s="12"/>
      <c r="AI70" s="17">
        <v>15578.564127</v>
      </c>
      <c r="AJ70" s="12"/>
      <c r="AK70" s="12"/>
      <c r="AL70" s="12"/>
      <c r="AM70" s="11">
        <v>996670.03</v>
      </c>
      <c r="AN70" s="12"/>
      <c r="AO70" s="11">
        <v>0</v>
      </c>
      <c r="AP70" s="12"/>
      <c r="AQ70" s="12"/>
      <c r="AR70" s="12"/>
      <c r="AS70" s="12"/>
      <c r="AT70" s="12"/>
      <c r="AU70" s="12"/>
      <c r="AV70" s="11">
        <v>3738855.3904800001</v>
      </c>
      <c r="AW70" s="11"/>
      <c r="AX70" s="11"/>
      <c r="AY70" s="11">
        <v>0</v>
      </c>
      <c r="AZ70" s="12"/>
      <c r="BA70" s="12"/>
      <c r="BB70" s="12"/>
      <c r="BC70" s="12"/>
      <c r="BD70" s="11">
        <v>1230706.56</v>
      </c>
      <c r="BE70" s="12"/>
      <c r="BF70" s="12"/>
      <c r="BG70" s="12"/>
      <c r="BH70" s="12"/>
      <c r="BI70" s="12"/>
      <c r="BJ70" s="11">
        <v>4.4000000000000004</v>
      </c>
      <c r="BK70" s="12"/>
      <c r="BL70" s="12"/>
      <c r="BM70" s="11">
        <v>2.99</v>
      </c>
      <c r="BN70" s="12"/>
      <c r="BO70" s="12"/>
      <c r="BP70" s="12"/>
      <c r="BQ70" s="12"/>
    </row>
    <row r="71" spans="1:69" x14ac:dyDescent="0.25">
      <c r="A71" s="12"/>
      <c r="B71" s="4" t="s">
        <v>129</v>
      </c>
      <c r="C71" s="13">
        <v>44952</v>
      </c>
      <c r="D71" s="12"/>
      <c r="E71" s="12"/>
      <c r="F71" s="14" t="s">
        <v>124</v>
      </c>
      <c r="G71" s="12"/>
      <c r="H71" s="12"/>
      <c r="I71" s="14" t="s">
        <v>128</v>
      </c>
      <c r="J71" s="12"/>
      <c r="K71" s="12"/>
      <c r="L71" s="15">
        <v>9.8501596215472303E-2</v>
      </c>
      <c r="M71" s="12"/>
      <c r="N71" s="12"/>
      <c r="O71" s="15">
        <v>1.43946467439626</v>
      </c>
      <c r="P71" s="12"/>
      <c r="Q71" s="12"/>
      <c r="R71" s="12"/>
      <c r="S71" s="16">
        <v>0.17238177539322699</v>
      </c>
      <c r="T71" s="12"/>
      <c r="U71" s="12"/>
      <c r="V71" s="14" t="s">
        <v>126</v>
      </c>
      <c r="W71" s="12"/>
      <c r="X71" s="13">
        <v>44657</v>
      </c>
      <c r="Y71" s="12"/>
      <c r="Z71" s="12"/>
      <c r="AA71" s="13">
        <v>46997</v>
      </c>
      <c r="AB71" s="12"/>
      <c r="AC71" s="12"/>
      <c r="AD71" s="15">
        <v>96</v>
      </c>
      <c r="AE71" s="12"/>
      <c r="AF71" s="12"/>
      <c r="AG71" s="12"/>
      <c r="AH71" s="12"/>
      <c r="AI71" s="17">
        <v>15578.564127</v>
      </c>
      <c r="AJ71" s="12"/>
      <c r="AK71" s="12"/>
      <c r="AL71" s="12"/>
      <c r="AM71" s="11">
        <v>201972.38</v>
      </c>
      <c r="AN71" s="12"/>
      <c r="AO71" s="11">
        <v>0</v>
      </c>
      <c r="AP71" s="12"/>
      <c r="AQ71" s="12"/>
      <c r="AR71" s="12"/>
      <c r="AS71" s="12"/>
      <c r="AT71" s="12"/>
      <c r="AU71" s="12"/>
      <c r="AV71" s="11">
        <v>1495542.156192</v>
      </c>
      <c r="AW71" s="11"/>
      <c r="AX71" s="11"/>
      <c r="AY71" s="11">
        <v>0</v>
      </c>
      <c r="AZ71" s="12"/>
      <c r="BA71" s="12"/>
      <c r="BB71" s="12"/>
      <c r="BC71" s="12"/>
      <c r="BD71" s="11">
        <v>249257.02</v>
      </c>
      <c r="BE71" s="12"/>
      <c r="BF71" s="12"/>
      <c r="BG71" s="12"/>
      <c r="BH71" s="12"/>
      <c r="BI71" s="12"/>
      <c r="BJ71" s="11">
        <v>0.89</v>
      </c>
      <c r="BK71" s="12"/>
      <c r="BL71" s="12"/>
      <c r="BM71" s="11">
        <v>0.6</v>
      </c>
      <c r="BN71" s="12"/>
      <c r="BO71" s="12"/>
      <c r="BP71" s="12"/>
      <c r="BQ71" s="12"/>
    </row>
    <row r="72" spans="1:69" x14ac:dyDescent="0.25">
      <c r="A72" s="12"/>
      <c r="B72" s="4" t="s">
        <v>130</v>
      </c>
      <c r="C72" s="13">
        <v>45125</v>
      </c>
      <c r="D72" s="12"/>
      <c r="E72" s="12"/>
      <c r="F72" s="14" t="s">
        <v>124</v>
      </c>
      <c r="G72" s="12"/>
      <c r="H72" s="12"/>
      <c r="I72" s="14" t="s">
        <v>131</v>
      </c>
      <c r="J72" s="12"/>
      <c r="K72" s="12"/>
      <c r="L72" s="15">
        <v>7.5218345098937406E-2</v>
      </c>
      <c r="M72" s="12"/>
      <c r="N72" s="12"/>
      <c r="O72" s="15">
        <v>1.3249009763800501</v>
      </c>
      <c r="P72" s="12"/>
      <c r="Q72" s="12"/>
      <c r="R72" s="12"/>
      <c r="S72" s="16">
        <v>0.16001420927749299</v>
      </c>
      <c r="T72" s="12"/>
      <c r="U72" s="12"/>
      <c r="V72" s="14" t="s">
        <v>126</v>
      </c>
      <c r="W72" s="12"/>
      <c r="X72" s="13">
        <v>44566</v>
      </c>
      <c r="Y72" s="12"/>
      <c r="Z72" s="12"/>
      <c r="AA72" s="13">
        <v>46813</v>
      </c>
      <c r="AB72" s="12"/>
      <c r="AC72" s="12"/>
      <c r="AD72" s="15">
        <v>475</v>
      </c>
      <c r="AE72" s="12"/>
      <c r="AF72" s="12"/>
      <c r="AG72" s="12"/>
      <c r="AH72" s="12"/>
      <c r="AI72" s="17">
        <v>15598.156500999999</v>
      </c>
      <c r="AJ72" s="12"/>
      <c r="AK72" s="12"/>
      <c r="AL72" s="12"/>
      <c r="AM72" s="11">
        <v>510186.94</v>
      </c>
      <c r="AN72" s="12"/>
      <c r="AO72" s="11">
        <v>0</v>
      </c>
      <c r="AP72" s="12"/>
      <c r="AQ72" s="12"/>
      <c r="AR72" s="12"/>
      <c r="AS72" s="12"/>
      <c r="AT72" s="12"/>
      <c r="AU72" s="12"/>
      <c r="AV72" s="11">
        <v>7409124.337975</v>
      </c>
      <c r="AW72" s="11"/>
      <c r="AX72" s="11"/>
      <c r="AY72" s="11">
        <v>0</v>
      </c>
      <c r="AZ72" s="12"/>
      <c r="BA72" s="12"/>
      <c r="BB72" s="12"/>
      <c r="BC72" s="12"/>
      <c r="BD72" s="11">
        <v>592729.93999999994</v>
      </c>
      <c r="BE72" s="12"/>
      <c r="BF72" s="12"/>
      <c r="BG72" s="12"/>
      <c r="BH72" s="12"/>
      <c r="BI72" s="12"/>
      <c r="BJ72" s="11">
        <v>2.12</v>
      </c>
      <c r="BK72" s="12"/>
      <c r="BL72" s="12"/>
      <c r="BM72" s="11">
        <v>1.44</v>
      </c>
      <c r="BN72" s="12"/>
      <c r="BO72" s="12"/>
      <c r="BP72" s="12"/>
      <c r="BQ72" s="12"/>
    </row>
    <row r="73" spans="1:69" x14ac:dyDescent="0.25">
      <c r="A73" s="12"/>
      <c r="B73" s="4" t="s">
        <v>132</v>
      </c>
      <c r="C73" s="13">
        <v>45359</v>
      </c>
      <c r="D73" s="12"/>
      <c r="E73" s="12"/>
      <c r="F73" s="14" t="s">
        <v>124</v>
      </c>
      <c r="G73" s="12"/>
      <c r="H73" s="12"/>
      <c r="I73" s="14" t="s">
        <v>128</v>
      </c>
      <c r="J73" s="12"/>
      <c r="K73" s="12"/>
      <c r="L73" s="15">
        <v>9.8501596215472303E-2</v>
      </c>
      <c r="M73" s="12"/>
      <c r="N73" s="12"/>
      <c r="O73" s="15">
        <v>1.43946467439626</v>
      </c>
      <c r="P73" s="12"/>
      <c r="Q73" s="12"/>
      <c r="R73" s="12"/>
      <c r="S73" s="16">
        <v>0.135609704668926</v>
      </c>
      <c r="T73" s="12"/>
      <c r="U73" s="12"/>
      <c r="V73" s="14" t="s">
        <v>126</v>
      </c>
      <c r="W73" s="12"/>
      <c r="X73" s="13">
        <v>44657</v>
      </c>
      <c r="Y73" s="12"/>
      <c r="Z73" s="12"/>
      <c r="AA73" s="13">
        <v>46997</v>
      </c>
      <c r="AB73" s="12"/>
      <c r="AC73" s="12"/>
      <c r="AD73" s="15">
        <v>185</v>
      </c>
      <c r="AE73" s="12"/>
      <c r="AF73" s="12"/>
      <c r="AG73" s="12"/>
      <c r="AH73" s="12"/>
      <c r="AI73" s="17">
        <v>15578.564127</v>
      </c>
      <c r="AJ73" s="12"/>
      <c r="AK73" s="12"/>
      <c r="AL73" s="12"/>
      <c r="AM73" s="11">
        <v>1490581.94</v>
      </c>
      <c r="AN73" s="12"/>
      <c r="AO73" s="11">
        <v>0</v>
      </c>
      <c r="AP73" s="12"/>
      <c r="AQ73" s="12"/>
      <c r="AR73" s="12"/>
      <c r="AS73" s="12"/>
      <c r="AT73" s="12"/>
      <c r="AU73" s="12"/>
      <c r="AV73" s="10">
        <v>2882034.3634949997</v>
      </c>
      <c r="AW73" s="10"/>
      <c r="AX73" s="10"/>
      <c r="AY73" s="11">
        <v>0</v>
      </c>
      <c r="AZ73" s="12"/>
      <c r="BA73" s="12"/>
      <c r="BB73" s="12"/>
      <c r="BC73" s="12"/>
      <c r="BD73" s="11">
        <v>1604592.1</v>
      </c>
      <c r="BE73" s="12"/>
      <c r="BF73" s="12"/>
      <c r="BG73" s="12"/>
      <c r="BH73" s="12"/>
      <c r="BI73" s="12"/>
      <c r="BJ73" s="11">
        <v>5.73</v>
      </c>
      <c r="BK73" s="12"/>
      <c r="BL73" s="12"/>
      <c r="BM73" s="11">
        <v>3.89</v>
      </c>
      <c r="BN73" s="12"/>
      <c r="BO73" s="12"/>
      <c r="BP73" s="12"/>
      <c r="BQ73" s="12"/>
    </row>
    <row r="74" spans="1:69" x14ac:dyDescent="0.25">
      <c r="A74" s="12"/>
      <c r="B74" s="7" t="s">
        <v>133</v>
      </c>
      <c r="C74" s="6"/>
      <c r="D74" s="6"/>
      <c r="E74" s="6"/>
      <c r="F74" s="7" t="s">
        <v>8</v>
      </c>
      <c r="G74" s="6"/>
      <c r="H74" s="6"/>
      <c r="I74" s="7" t="s">
        <v>8</v>
      </c>
      <c r="J74" s="6"/>
      <c r="K74" s="6"/>
      <c r="L74" s="7" t="s">
        <v>8</v>
      </c>
      <c r="M74" s="6"/>
      <c r="N74" s="6"/>
      <c r="O74" s="7" t="s">
        <v>8</v>
      </c>
      <c r="P74" s="6"/>
      <c r="Q74" s="6"/>
      <c r="R74" s="6"/>
      <c r="S74" s="7" t="s">
        <v>8</v>
      </c>
      <c r="T74" s="6"/>
      <c r="U74" s="6"/>
      <c r="V74" s="7" t="s">
        <v>8</v>
      </c>
      <c r="W74" s="6"/>
      <c r="X74" s="8" t="s">
        <v>8</v>
      </c>
      <c r="Y74" s="6"/>
      <c r="Z74" s="6"/>
      <c r="AA74" s="8" t="s">
        <v>8</v>
      </c>
      <c r="AB74" s="6"/>
      <c r="AC74" s="6"/>
      <c r="AD74" s="9">
        <v>1089</v>
      </c>
      <c r="AE74" s="6"/>
      <c r="AF74" s="6"/>
      <c r="AG74" s="6"/>
      <c r="AH74" s="6"/>
      <c r="AI74" s="7" t="s">
        <v>8</v>
      </c>
      <c r="AJ74" s="6"/>
      <c r="AK74" s="6"/>
      <c r="AL74" s="6"/>
      <c r="AM74" s="5">
        <v>3908981.66</v>
      </c>
      <c r="AN74" s="6"/>
      <c r="AO74" s="5">
        <v>0</v>
      </c>
      <c r="AP74" s="6"/>
      <c r="AQ74" s="6"/>
      <c r="AR74" s="6"/>
      <c r="AS74" s="6"/>
      <c r="AT74" s="6"/>
      <c r="AU74" s="6"/>
      <c r="AV74" s="5">
        <v>16979869.701373</v>
      </c>
      <c r="AW74" s="5"/>
      <c r="AX74" s="5"/>
      <c r="AY74" s="5">
        <v>0</v>
      </c>
      <c r="AZ74" s="6"/>
      <c r="BA74" s="6"/>
      <c r="BB74" s="6"/>
      <c r="BC74" s="6"/>
      <c r="BD74" s="5">
        <v>4568639.0199999996</v>
      </c>
      <c r="BE74" s="6"/>
      <c r="BF74" s="6"/>
      <c r="BG74" s="6"/>
      <c r="BH74" s="6"/>
      <c r="BI74" s="6"/>
      <c r="BJ74" s="5">
        <v>16.329999999999998</v>
      </c>
      <c r="BK74" s="6"/>
      <c r="BL74" s="6"/>
      <c r="BM74" s="5">
        <v>11.08</v>
      </c>
      <c r="BN74" s="6"/>
      <c r="BO74" s="6"/>
      <c r="BP74" s="6"/>
      <c r="BQ74" s="6"/>
    </row>
    <row r="75" spans="1:69" x14ac:dyDescent="0.25">
      <c r="A75" s="12"/>
      <c r="B75" s="21" t="s">
        <v>50</v>
      </c>
      <c r="C75" s="20"/>
      <c r="D75" s="20"/>
      <c r="E75" s="20"/>
      <c r="F75" s="21" t="s">
        <v>8</v>
      </c>
      <c r="G75" s="20"/>
      <c r="H75" s="20"/>
      <c r="I75" s="21" t="s">
        <v>8</v>
      </c>
      <c r="J75" s="20"/>
      <c r="K75" s="20"/>
      <c r="L75" s="19" t="s">
        <v>8</v>
      </c>
      <c r="M75" s="20"/>
      <c r="N75" s="20"/>
      <c r="O75" s="19" t="s">
        <v>8</v>
      </c>
      <c r="P75" s="20"/>
      <c r="Q75" s="20"/>
      <c r="R75" s="20"/>
      <c r="S75" s="19" t="s">
        <v>8</v>
      </c>
      <c r="T75" s="20"/>
      <c r="U75" s="20"/>
      <c r="V75" s="21" t="s">
        <v>8</v>
      </c>
      <c r="W75" s="20"/>
      <c r="X75" s="22" t="s">
        <v>8</v>
      </c>
      <c r="Y75" s="20"/>
      <c r="Z75" s="20"/>
      <c r="AA75" s="22" t="s">
        <v>8</v>
      </c>
      <c r="AB75" s="20"/>
      <c r="AC75" s="20"/>
      <c r="AD75" s="19" t="s">
        <v>8</v>
      </c>
      <c r="AE75" s="20"/>
      <c r="AF75" s="20"/>
      <c r="AG75" s="20"/>
      <c r="AH75" s="20"/>
      <c r="AI75" s="19" t="s">
        <v>8</v>
      </c>
      <c r="AJ75" s="20"/>
      <c r="AK75" s="20"/>
      <c r="AL75" s="20"/>
      <c r="AM75" s="19" t="s">
        <v>8</v>
      </c>
      <c r="AN75" s="20"/>
      <c r="AO75" s="19" t="s">
        <v>8</v>
      </c>
      <c r="AP75" s="20"/>
      <c r="AQ75" s="20"/>
      <c r="AR75" s="20"/>
      <c r="AS75" s="20"/>
      <c r="AT75" s="20"/>
      <c r="AU75" s="20"/>
      <c r="AV75" s="19" t="s">
        <v>8</v>
      </c>
      <c r="AW75" s="20"/>
      <c r="AX75" s="20"/>
      <c r="AY75" s="19" t="s">
        <v>8</v>
      </c>
      <c r="AZ75" s="20"/>
      <c r="BA75" s="20"/>
      <c r="BB75" s="20"/>
      <c r="BC75" s="20"/>
      <c r="BD75" s="19" t="s">
        <v>8</v>
      </c>
      <c r="BE75" s="20"/>
      <c r="BF75" s="20"/>
      <c r="BG75" s="20"/>
      <c r="BH75" s="20"/>
      <c r="BI75" s="20"/>
      <c r="BJ75" s="19" t="s">
        <v>8</v>
      </c>
      <c r="BK75" s="20"/>
      <c r="BL75" s="20"/>
      <c r="BM75" s="19" t="s">
        <v>8</v>
      </c>
      <c r="BN75" s="20"/>
      <c r="BO75" s="20"/>
      <c r="BP75" s="20"/>
      <c r="BQ75" s="20"/>
    </row>
    <row r="76" spans="1:69" x14ac:dyDescent="0.25">
      <c r="A76" s="12"/>
      <c r="B76" s="21" t="s">
        <v>134</v>
      </c>
      <c r="C76" s="20"/>
      <c r="D76" s="20"/>
      <c r="E76" s="20"/>
      <c r="F76" s="20"/>
      <c r="G76" s="20"/>
      <c r="H76" s="20"/>
      <c r="I76" s="21" t="s">
        <v>8</v>
      </c>
      <c r="J76" s="20"/>
      <c r="K76" s="20"/>
      <c r="L76" s="19" t="s">
        <v>8</v>
      </c>
      <c r="M76" s="20"/>
      <c r="N76" s="20"/>
      <c r="O76" s="19" t="s">
        <v>8</v>
      </c>
      <c r="P76" s="20"/>
      <c r="Q76" s="20"/>
      <c r="R76" s="20"/>
      <c r="S76" s="19" t="s">
        <v>8</v>
      </c>
      <c r="T76" s="20"/>
      <c r="U76" s="20"/>
      <c r="V76" s="21" t="s">
        <v>8</v>
      </c>
      <c r="W76" s="20"/>
      <c r="X76" s="22" t="s">
        <v>8</v>
      </c>
      <c r="Y76" s="20"/>
      <c r="Z76" s="20"/>
      <c r="AA76" s="22" t="s">
        <v>8</v>
      </c>
      <c r="AB76" s="20"/>
      <c r="AC76" s="20"/>
      <c r="AD76" s="19" t="s">
        <v>8</v>
      </c>
      <c r="AE76" s="20"/>
      <c r="AF76" s="20"/>
      <c r="AG76" s="20"/>
      <c r="AH76" s="20"/>
      <c r="AI76" s="19" t="s">
        <v>8</v>
      </c>
      <c r="AJ76" s="20"/>
      <c r="AK76" s="20"/>
      <c r="AL76" s="20"/>
      <c r="AM76" s="19" t="s">
        <v>8</v>
      </c>
      <c r="AN76" s="20"/>
      <c r="AO76" s="19" t="s">
        <v>8</v>
      </c>
      <c r="AP76" s="20"/>
      <c r="AQ76" s="20"/>
      <c r="AR76" s="20"/>
      <c r="AS76" s="20"/>
      <c r="AT76" s="20"/>
      <c r="AU76" s="20"/>
      <c r="AV76" s="19" t="s">
        <v>8</v>
      </c>
      <c r="AW76" s="20"/>
      <c r="AX76" s="20"/>
      <c r="AY76" s="19" t="s">
        <v>8</v>
      </c>
      <c r="AZ76" s="20"/>
      <c r="BA76" s="20"/>
      <c r="BB76" s="20"/>
      <c r="BC76" s="20"/>
      <c r="BD76" s="19" t="s">
        <v>8</v>
      </c>
      <c r="BE76" s="20"/>
      <c r="BF76" s="20"/>
      <c r="BG76" s="20"/>
      <c r="BH76" s="20"/>
      <c r="BI76" s="20"/>
      <c r="BJ76" s="19" t="s">
        <v>8</v>
      </c>
      <c r="BK76" s="20"/>
      <c r="BL76" s="20"/>
      <c r="BM76" s="19" t="s">
        <v>8</v>
      </c>
      <c r="BN76" s="20"/>
      <c r="BO76" s="20"/>
      <c r="BP76" s="20"/>
      <c r="BQ76" s="20"/>
    </row>
    <row r="77" spans="1:69" x14ac:dyDescent="0.25">
      <c r="A77" s="12"/>
      <c r="B77" s="4" t="s">
        <v>135</v>
      </c>
      <c r="C77" s="13">
        <v>43917</v>
      </c>
      <c r="D77" s="12"/>
      <c r="E77" s="12"/>
      <c r="F77" s="14" t="s">
        <v>124</v>
      </c>
      <c r="G77" s="12"/>
      <c r="H77" s="12"/>
      <c r="I77" s="14" t="s">
        <v>136</v>
      </c>
      <c r="J77" s="12"/>
      <c r="K77" s="12"/>
      <c r="L77" s="15">
        <v>6.6211032903207698</v>
      </c>
      <c r="M77" s="12"/>
      <c r="N77" s="12"/>
      <c r="O77" s="15">
        <v>15.552828034986099</v>
      </c>
      <c r="P77" s="12"/>
      <c r="Q77" s="12"/>
      <c r="R77" s="12"/>
      <c r="S77" s="16">
        <v>4.47819904763114</v>
      </c>
      <c r="T77" s="12"/>
      <c r="U77" s="12"/>
      <c r="V77" s="14" t="s">
        <v>55</v>
      </c>
      <c r="W77" s="12"/>
      <c r="X77" s="13">
        <v>36722</v>
      </c>
      <c r="Y77" s="12"/>
      <c r="Z77" s="12"/>
      <c r="AA77" s="13">
        <v>55015</v>
      </c>
      <c r="AB77" s="12"/>
      <c r="AC77" s="12"/>
      <c r="AD77" s="15">
        <v>477</v>
      </c>
      <c r="AE77" s="12"/>
      <c r="AF77" s="12"/>
      <c r="AG77" s="12"/>
      <c r="AH77" s="12"/>
      <c r="AI77" s="17">
        <v>4122.5073599999996</v>
      </c>
      <c r="AJ77" s="12"/>
      <c r="AK77" s="12"/>
      <c r="AL77" s="12"/>
      <c r="AM77" s="11">
        <v>999765.15</v>
      </c>
      <c r="AN77" s="12"/>
      <c r="AO77" s="11">
        <v>0</v>
      </c>
      <c r="AP77" s="12"/>
      <c r="AQ77" s="12"/>
      <c r="AR77" s="12"/>
      <c r="AS77" s="12"/>
      <c r="AT77" s="12"/>
      <c r="AU77" s="12"/>
      <c r="AV77" s="18">
        <v>1966436.0107199999</v>
      </c>
      <c r="AW77" s="18"/>
      <c r="AX77" s="18"/>
      <c r="AY77" s="11">
        <v>0</v>
      </c>
      <c r="AZ77" s="12"/>
      <c r="BA77" s="12"/>
      <c r="BB77" s="12"/>
      <c r="BC77" s="12"/>
      <c r="BD77" s="11">
        <v>989401.76</v>
      </c>
      <c r="BE77" s="12"/>
      <c r="BF77" s="12"/>
      <c r="BG77" s="12"/>
      <c r="BH77" s="12"/>
      <c r="BI77" s="12"/>
      <c r="BJ77" s="11">
        <v>3.54</v>
      </c>
      <c r="BK77" s="12"/>
      <c r="BL77" s="12"/>
      <c r="BM77" s="11">
        <v>2.4</v>
      </c>
      <c r="BN77" s="12"/>
      <c r="BO77" s="12"/>
      <c r="BP77" s="12"/>
      <c r="BQ77" s="12"/>
    </row>
    <row r="78" spans="1:69" x14ac:dyDescent="0.25">
      <c r="A78" s="12"/>
      <c r="B78" s="4" t="s">
        <v>137</v>
      </c>
      <c r="C78" s="13">
        <v>43957</v>
      </c>
      <c r="D78" s="12"/>
      <c r="E78" s="12"/>
      <c r="F78" s="14" t="s">
        <v>124</v>
      </c>
      <c r="G78" s="12"/>
      <c r="H78" s="12"/>
      <c r="I78" s="14" t="s">
        <v>136</v>
      </c>
      <c r="J78" s="12"/>
      <c r="K78" s="12"/>
      <c r="L78" s="15">
        <v>6.6211032903207698</v>
      </c>
      <c r="M78" s="12"/>
      <c r="N78" s="12"/>
      <c r="O78" s="15">
        <v>15.552828034986099</v>
      </c>
      <c r="P78" s="12"/>
      <c r="Q78" s="12"/>
      <c r="R78" s="12"/>
      <c r="S78" s="16">
        <v>4.3758882714732401</v>
      </c>
      <c r="T78" s="12"/>
      <c r="U78" s="12"/>
      <c r="V78" s="14" t="s">
        <v>55</v>
      </c>
      <c r="W78" s="12"/>
      <c r="X78" s="13">
        <v>36722</v>
      </c>
      <c r="Y78" s="12"/>
      <c r="Z78" s="12"/>
      <c r="AA78" s="13">
        <v>55015</v>
      </c>
      <c r="AB78" s="12"/>
      <c r="AC78" s="12"/>
      <c r="AD78" s="15">
        <v>89</v>
      </c>
      <c r="AE78" s="12"/>
      <c r="AF78" s="12"/>
      <c r="AG78" s="12"/>
      <c r="AH78" s="12"/>
      <c r="AI78" s="17">
        <v>4122.5073599999996</v>
      </c>
      <c r="AJ78" s="12"/>
      <c r="AK78" s="12"/>
      <c r="AL78" s="12"/>
      <c r="AM78" s="11">
        <v>1009690.36</v>
      </c>
      <c r="AN78" s="12"/>
      <c r="AO78" s="11">
        <v>0</v>
      </c>
      <c r="AP78" s="12"/>
      <c r="AQ78" s="12"/>
      <c r="AR78" s="12"/>
      <c r="AS78" s="12"/>
      <c r="AT78" s="12"/>
      <c r="AU78" s="12"/>
      <c r="AV78" s="11">
        <v>366903.15503999998</v>
      </c>
      <c r="AW78" s="11"/>
      <c r="AX78" s="11"/>
      <c r="AY78" s="11">
        <v>0</v>
      </c>
      <c r="AZ78" s="12"/>
      <c r="BA78" s="12"/>
      <c r="BB78" s="12"/>
      <c r="BC78" s="12"/>
      <c r="BD78" s="11">
        <v>981156.75</v>
      </c>
      <c r="BE78" s="12"/>
      <c r="BF78" s="12"/>
      <c r="BG78" s="12"/>
      <c r="BH78" s="12"/>
      <c r="BI78" s="12"/>
      <c r="BJ78" s="11">
        <v>3.51</v>
      </c>
      <c r="BK78" s="12"/>
      <c r="BL78" s="12"/>
      <c r="BM78" s="11">
        <v>2.38</v>
      </c>
      <c r="BN78" s="12"/>
      <c r="BO78" s="12"/>
      <c r="BP78" s="12"/>
      <c r="BQ78" s="12"/>
    </row>
    <row r="79" spans="1:69" x14ac:dyDescent="0.25">
      <c r="A79" s="12"/>
      <c r="B79" s="4" t="s">
        <v>138</v>
      </c>
      <c r="C79" s="13">
        <v>43964</v>
      </c>
      <c r="D79" s="12"/>
      <c r="E79" s="12"/>
      <c r="F79" s="14" t="s">
        <v>124</v>
      </c>
      <c r="G79" s="12"/>
      <c r="H79" s="12"/>
      <c r="I79" s="14" t="s">
        <v>136</v>
      </c>
      <c r="J79" s="12"/>
      <c r="K79" s="12"/>
      <c r="L79" s="15">
        <v>6.6211032903207698</v>
      </c>
      <c r="M79" s="12"/>
      <c r="N79" s="12"/>
      <c r="O79" s="15">
        <v>15.552828034986099</v>
      </c>
      <c r="P79" s="12"/>
      <c r="Q79" s="12"/>
      <c r="R79" s="12"/>
      <c r="S79" s="16">
        <v>4.5595852526169303</v>
      </c>
      <c r="T79" s="12"/>
      <c r="U79" s="12"/>
      <c r="V79" s="14" t="s">
        <v>55</v>
      </c>
      <c r="W79" s="12"/>
      <c r="X79" s="13">
        <v>36722</v>
      </c>
      <c r="Y79" s="12"/>
      <c r="Z79" s="12"/>
      <c r="AA79" s="13">
        <v>55015</v>
      </c>
      <c r="AB79" s="12"/>
      <c r="AC79" s="12"/>
      <c r="AD79" s="15">
        <v>474</v>
      </c>
      <c r="AE79" s="12"/>
      <c r="AF79" s="12"/>
      <c r="AG79" s="12"/>
      <c r="AH79" s="12"/>
      <c r="AI79" s="17">
        <v>4122.5073599999996</v>
      </c>
      <c r="AJ79" s="12"/>
      <c r="AK79" s="12"/>
      <c r="AL79" s="12"/>
      <c r="AM79" s="11">
        <v>2001411.22</v>
      </c>
      <c r="AN79" s="12"/>
      <c r="AO79" s="11">
        <v>0</v>
      </c>
      <c r="AP79" s="12"/>
      <c r="AQ79" s="12"/>
      <c r="AR79" s="12"/>
      <c r="AS79" s="12"/>
      <c r="AT79" s="12"/>
      <c r="AU79" s="12"/>
      <c r="AV79" s="11">
        <v>1954068.4886399999</v>
      </c>
      <c r="AW79" s="11"/>
      <c r="AX79" s="11"/>
      <c r="AY79" s="11">
        <v>0</v>
      </c>
      <c r="AZ79" s="12"/>
      <c r="BA79" s="12"/>
      <c r="BB79" s="12"/>
      <c r="BC79" s="12"/>
      <c r="BD79" s="11">
        <v>1999416.06</v>
      </c>
      <c r="BE79" s="12"/>
      <c r="BF79" s="12"/>
      <c r="BG79" s="12"/>
      <c r="BH79" s="12"/>
      <c r="BI79" s="12"/>
      <c r="BJ79" s="11">
        <v>7.14</v>
      </c>
      <c r="BK79" s="12"/>
      <c r="BL79" s="12"/>
      <c r="BM79" s="11">
        <v>4.8499999999999996</v>
      </c>
      <c r="BN79" s="12"/>
      <c r="BO79" s="12"/>
      <c r="BP79" s="12"/>
      <c r="BQ79" s="12"/>
    </row>
    <row r="80" spans="1:69" x14ac:dyDescent="0.25">
      <c r="A80" s="12"/>
      <c r="B80" s="4" t="s">
        <v>139</v>
      </c>
      <c r="C80" s="13">
        <v>44292</v>
      </c>
      <c r="D80" s="12"/>
      <c r="E80" s="12"/>
      <c r="F80" s="14" t="s">
        <v>124</v>
      </c>
      <c r="G80" s="12"/>
      <c r="H80" s="12"/>
      <c r="I80" s="14" t="s">
        <v>140</v>
      </c>
      <c r="J80" s="12"/>
      <c r="K80" s="12"/>
      <c r="L80" s="15">
        <v>6.83000933156461</v>
      </c>
      <c r="M80" s="12"/>
      <c r="N80" s="12"/>
      <c r="O80" s="15">
        <v>10.6003827746681</v>
      </c>
      <c r="P80" s="12"/>
      <c r="Q80" s="12"/>
      <c r="R80" s="12"/>
      <c r="S80" s="16">
        <v>3.94652531150588</v>
      </c>
      <c r="T80" s="12"/>
      <c r="U80" s="12"/>
      <c r="V80" s="14" t="s">
        <v>55</v>
      </c>
      <c r="W80" s="12"/>
      <c r="X80" s="13">
        <v>36722</v>
      </c>
      <c r="Y80" s="12"/>
      <c r="Z80" s="12"/>
      <c r="AA80" s="13">
        <v>47710</v>
      </c>
      <c r="AB80" s="12"/>
      <c r="AC80" s="12"/>
      <c r="AD80" s="15">
        <v>247</v>
      </c>
      <c r="AE80" s="12"/>
      <c r="AF80" s="12"/>
      <c r="AG80" s="12"/>
      <c r="AH80" s="12"/>
      <c r="AI80" s="17">
        <v>4273.2406989999999</v>
      </c>
      <c r="AJ80" s="12"/>
      <c r="AK80" s="12"/>
      <c r="AL80" s="12"/>
      <c r="AM80" s="11">
        <v>1008951.19</v>
      </c>
      <c r="AN80" s="12"/>
      <c r="AO80" s="11">
        <v>0</v>
      </c>
      <c r="AP80" s="12"/>
      <c r="AQ80" s="12"/>
      <c r="AR80" s="12"/>
      <c r="AS80" s="12"/>
      <c r="AT80" s="12"/>
      <c r="AU80" s="12"/>
      <c r="AV80" s="11">
        <v>1055490.4526529999</v>
      </c>
      <c r="AW80" s="11"/>
      <c r="AX80" s="11"/>
      <c r="AY80" s="11">
        <v>0</v>
      </c>
      <c r="AZ80" s="12"/>
      <c r="BA80" s="12"/>
      <c r="BB80" s="12"/>
      <c r="BC80" s="12"/>
      <c r="BD80" s="11">
        <v>1055490.45</v>
      </c>
      <c r="BE80" s="12"/>
      <c r="BF80" s="12"/>
      <c r="BG80" s="12"/>
      <c r="BH80" s="12"/>
      <c r="BI80" s="12"/>
      <c r="BJ80" s="11">
        <v>3.77</v>
      </c>
      <c r="BK80" s="12"/>
      <c r="BL80" s="12"/>
      <c r="BM80" s="11">
        <v>2.56</v>
      </c>
      <c r="BN80" s="12"/>
      <c r="BO80" s="12"/>
      <c r="BP80" s="12"/>
      <c r="BQ80" s="12"/>
    </row>
    <row r="81" spans="1:69" x14ac:dyDescent="0.25">
      <c r="A81" s="12"/>
      <c r="B81" s="4" t="s">
        <v>141</v>
      </c>
      <c r="C81" s="13">
        <v>44575</v>
      </c>
      <c r="D81" s="12"/>
      <c r="E81" s="12"/>
      <c r="F81" s="14" t="s">
        <v>124</v>
      </c>
      <c r="G81" s="12"/>
      <c r="H81" s="12"/>
      <c r="I81" s="14" t="s">
        <v>142</v>
      </c>
      <c r="J81" s="12"/>
      <c r="K81" s="12"/>
      <c r="L81" s="15">
        <v>6.7002012789445304</v>
      </c>
      <c r="M81" s="12"/>
      <c r="N81" s="12"/>
      <c r="O81" s="15">
        <v>12.081288059049999</v>
      </c>
      <c r="P81" s="12"/>
      <c r="Q81" s="12"/>
      <c r="R81" s="12"/>
      <c r="S81" s="16">
        <v>5.6321203682201801</v>
      </c>
      <c r="T81" s="12"/>
      <c r="U81" s="12"/>
      <c r="V81" s="14" t="s">
        <v>55</v>
      </c>
      <c r="W81" s="12"/>
      <c r="X81" s="13">
        <v>36722</v>
      </c>
      <c r="Y81" s="12"/>
      <c r="Z81" s="12"/>
      <c r="AA81" s="13">
        <v>49444</v>
      </c>
      <c r="AB81" s="12"/>
      <c r="AC81" s="12"/>
      <c r="AD81" s="15">
        <v>201</v>
      </c>
      <c r="AE81" s="12"/>
      <c r="AF81" s="12"/>
      <c r="AG81" s="12"/>
      <c r="AH81" s="12"/>
      <c r="AI81" s="17">
        <v>4156.6371429999999</v>
      </c>
      <c r="AJ81" s="12"/>
      <c r="AK81" s="12"/>
      <c r="AL81" s="12"/>
      <c r="AM81" s="11">
        <v>503548.14</v>
      </c>
      <c r="AN81" s="12"/>
      <c r="AO81" s="11">
        <v>0</v>
      </c>
      <c r="AP81" s="12"/>
      <c r="AQ81" s="12"/>
      <c r="AR81" s="12"/>
      <c r="AS81" s="12"/>
      <c r="AT81" s="12"/>
      <c r="AU81" s="12"/>
      <c r="AV81" s="11">
        <v>835484.06574300001</v>
      </c>
      <c r="AW81" s="11"/>
      <c r="AX81" s="11"/>
      <c r="AY81" s="11">
        <v>0</v>
      </c>
      <c r="AZ81" s="12"/>
      <c r="BA81" s="12"/>
      <c r="BB81" s="12"/>
      <c r="BC81" s="12"/>
      <c r="BD81" s="11">
        <v>527892.91</v>
      </c>
      <c r="BE81" s="12"/>
      <c r="BF81" s="12"/>
      <c r="BG81" s="12"/>
      <c r="BH81" s="12"/>
      <c r="BI81" s="12"/>
      <c r="BJ81" s="11">
        <v>1.89</v>
      </c>
      <c r="BK81" s="12"/>
      <c r="BL81" s="12"/>
      <c r="BM81" s="11">
        <v>1.28</v>
      </c>
      <c r="BN81" s="12"/>
      <c r="BO81" s="12"/>
      <c r="BP81" s="12"/>
      <c r="BQ81" s="12"/>
    </row>
    <row r="82" spans="1:69" ht="16.5" x14ac:dyDescent="0.25">
      <c r="A82" s="12"/>
      <c r="B82" s="4" t="s">
        <v>143</v>
      </c>
      <c r="C82" s="13">
        <v>44757</v>
      </c>
      <c r="D82" s="12"/>
      <c r="E82" s="12"/>
      <c r="F82" s="14" t="s">
        <v>124</v>
      </c>
      <c r="G82" s="12"/>
      <c r="H82" s="12"/>
      <c r="I82" s="14" t="s">
        <v>136</v>
      </c>
      <c r="J82" s="12"/>
      <c r="K82" s="12"/>
      <c r="L82" s="15">
        <v>6.6211032903207698</v>
      </c>
      <c r="M82" s="12"/>
      <c r="N82" s="12"/>
      <c r="O82" s="15">
        <v>15.552828034986099</v>
      </c>
      <c r="P82" s="12"/>
      <c r="Q82" s="12"/>
      <c r="R82" s="12"/>
      <c r="S82" s="16">
        <v>6.2757648983777798</v>
      </c>
      <c r="T82" s="12"/>
      <c r="U82" s="12"/>
      <c r="V82" s="14" t="s">
        <v>55</v>
      </c>
      <c r="W82" s="12"/>
      <c r="X82" s="13">
        <v>36722</v>
      </c>
      <c r="Y82" s="12"/>
      <c r="Z82" s="12"/>
      <c r="AA82" s="13">
        <v>55015</v>
      </c>
      <c r="AB82" s="12"/>
      <c r="AC82" s="12"/>
      <c r="AD82" s="15">
        <v>332</v>
      </c>
      <c r="AE82" s="12"/>
      <c r="AF82" s="12"/>
      <c r="AG82" s="12"/>
      <c r="AH82" s="12"/>
      <c r="AI82" s="17">
        <v>4122.5073599999996</v>
      </c>
      <c r="AJ82" s="12"/>
      <c r="AK82" s="12"/>
      <c r="AL82" s="12"/>
      <c r="AM82" s="11">
        <v>1501718.99</v>
      </c>
      <c r="AN82" s="12"/>
      <c r="AO82" s="11">
        <v>0</v>
      </c>
      <c r="AP82" s="12"/>
      <c r="AQ82" s="12"/>
      <c r="AR82" s="12"/>
      <c r="AS82" s="12"/>
      <c r="AT82" s="12"/>
      <c r="AU82" s="12"/>
      <c r="AV82" s="11">
        <v>1368672.44352</v>
      </c>
      <c r="AW82" s="11"/>
      <c r="AX82" s="11"/>
      <c r="AY82" s="11">
        <v>0</v>
      </c>
      <c r="AZ82" s="12"/>
      <c r="BA82" s="12"/>
      <c r="BB82" s="12"/>
      <c r="BC82" s="12"/>
      <c r="BD82" s="11">
        <v>1558307.78</v>
      </c>
      <c r="BE82" s="12"/>
      <c r="BF82" s="12"/>
      <c r="BG82" s="12"/>
      <c r="BH82" s="12"/>
      <c r="BI82" s="12"/>
      <c r="BJ82" s="11">
        <v>5.57</v>
      </c>
      <c r="BK82" s="12"/>
      <c r="BL82" s="12"/>
      <c r="BM82" s="11">
        <v>3.78</v>
      </c>
      <c r="BN82" s="12"/>
      <c r="BO82" s="12"/>
      <c r="BP82" s="12"/>
      <c r="BQ82" s="12"/>
    </row>
    <row r="83" spans="1:69" x14ac:dyDescent="0.25">
      <c r="A83" s="12"/>
      <c r="B83" s="4" t="s">
        <v>144</v>
      </c>
      <c r="C83" s="13">
        <v>45205</v>
      </c>
      <c r="D83" s="12"/>
      <c r="E83" s="12"/>
      <c r="F83" s="14" t="s">
        <v>124</v>
      </c>
      <c r="G83" s="12"/>
      <c r="H83" s="12"/>
      <c r="I83" s="14" t="s">
        <v>136</v>
      </c>
      <c r="J83" s="12"/>
      <c r="K83" s="12"/>
      <c r="L83" s="15">
        <v>6.6211032903207698</v>
      </c>
      <c r="M83" s="12"/>
      <c r="N83" s="12"/>
      <c r="O83" s="15">
        <v>15.552828034986099</v>
      </c>
      <c r="P83" s="12"/>
      <c r="Q83" s="12"/>
      <c r="R83" s="12"/>
      <c r="S83" s="16">
        <v>6.0130836553574003</v>
      </c>
      <c r="T83" s="12"/>
      <c r="U83" s="12"/>
      <c r="V83" s="14" t="s">
        <v>55</v>
      </c>
      <c r="W83" s="12"/>
      <c r="X83" s="13">
        <v>36722</v>
      </c>
      <c r="Y83" s="12"/>
      <c r="Z83" s="12"/>
      <c r="AA83" s="13">
        <v>55015</v>
      </c>
      <c r="AB83" s="12"/>
      <c r="AC83" s="12"/>
      <c r="AD83" s="15">
        <v>306</v>
      </c>
      <c r="AE83" s="12"/>
      <c r="AF83" s="12"/>
      <c r="AG83" s="12"/>
      <c r="AH83" s="12"/>
      <c r="AI83" s="17">
        <v>4122.5073599999996</v>
      </c>
      <c r="AJ83" s="12"/>
      <c r="AK83" s="12"/>
      <c r="AL83" s="12"/>
      <c r="AM83" s="11">
        <v>2097623.41</v>
      </c>
      <c r="AN83" s="12"/>
      <c r="AO83" s="11">
        <v>0</v>
      </c>
      <c r="AP83" s="12"/>
      <c r="AQ83" s="12"/>
      <c r="AR83" s="12"/>
      <c r="AS83" s="12"/>
      <c r="AT83" s="12"/>
      <c r="AU83" s="12"/>
      <c r="AV83" s="11">
        <v>1261487.2521599999</v>
      </c>
      <c r="AW83" s="11"/>
      <c r="AX83" s="11"/>
      <c r="AY83" s="11">
        <v>0</v>
      </c>
      <c r="AZ83" s="12"/>
      <c r="BA83" s="12"/>
      <c r="BB83" s="12"/>
      <c r="BC83" s="12"/>
      <c r="BD83" s="11">
        <v>2061253.68</v>
      </c>
      <c r="BE83" s="12"/>
      <c r="BF83" s="12"/>
      <c r="BG83" s="12"/>
      <c r="BH83" s="12"/>
      <c r="BI83" s="12"/>
      <c r="BJ83" s="11">
        <v>7.37</v>
      </c>
      <c r="BK83" s="12"/>
      <c r="BL83" s="12"/>
      <c r="BM83" s="11">
        <v>5</v>
      </c>
      <c r="BN83" s="12"/>
      <c r="BO83" s="12"/>
      <c r="BP83" s="12"/>
      <c r="BQ83" s="12"/>
    </row>
    <row r="84" spans="1:69" ht="16.5" x14ac:dyDescent="0.25">
      <c r="A84" s="12"/>
      <c r="B84" s="4" t="s">
        <v>145</v>
      </c>
      <c r="C84" s="13">
        <v>45394</v>
      </c>
      <c r="D84" s="12"/>
      <c r="E84" s="12"/>
      <c r="F84" s="14" t="s">
        <v>124</v>
      </c>
      <c r="G84" s="12"/>
      <c r="H84" s="12"/>
      <c r="I84" s="14" t="s">
        <v>136</v>
      </c>
      <c r="J84" s="12"/>
      <c r="K84" s="12"/>
      <c r="L84" s="15">
        <v>6.6211032903207698</v>
      </c>
      <c r="M84" s="12"/>
      <c r="N84" s="12"/>
      <c r="O84" s="15">
        <v>15.552828034986099</v>
      </c>
      <c r="P84" s="12"/>
      <c r="Q84" s="12"/>
      <c r="R84" s="12"/>
      <c r="S84" s="16">
        <v>5.9990052878318201</v>
      </c>
      <c r="T84" s="12"/>
      <c r="U84" s="12"/>
      <c r="V84" s="14" t="s">
        <v>55</v>
      </c>
      <c r="W84" s="12"/>
      <c r="X84" s="13">
        <v>36722</v>
      </c>
      <c r="Y84" s="12"/>
      <c r="Z84" s="12"/>
      <c r="AA84" s="13">
        <v>55015</v>
      </c>
      <c r="AB84" s="12"/>
      <c r="AC84" s="12"/>
      <c r="AD84" s="15">
        <v>104</v>
      </c>
      <c r="AE84" s="12"/>
      <c r="AF84" s="12"/>
      <c r="AG84" s="12"/>
      <c r="AH84" s="12"/>
      <c r="AI84" s="17">
        <v>4122.5073599999996</v>
      </c>
      <c r="AJ84" s="12"/>
      <c r="AK84" s="12"/>
      <c r="AL84" s="12"/>
      <c r="AM84" s="11">
        <v>1000495.94</v>
      </c>
      <c r="AN84" s="12"/>
      <c r="AO84" s="11">
        <v>0</v>
      </c>
      <c r="AP84" s="12"/>
      <c r="AQ84" s="12"/>
      <c r="AR84" s="12"/>
      <c r="AS84" s="12"/>
      <c r="AT84" s="12"/>
      <c r="AU84" s="12"/>
      <c r="AV84" s="11">
        <v>428740.76543999999</v>
      </c>
      <c r="AW84" s="11"/>
      <c r="AX84" s="11"/>
      <c r="AY84" s="11">
        <v>0</v>
      </c>
      <c r="AZ84" s="12"/>
      <c r="BA84" s="12"/>
      <c r="BB84" s="12"/>
      <c r="BC84" s="12"/>
      <c r="BD84" s="11">
        <v>956421.7</v>
      </c>
      <c r="BE84" s="12"/>
      <c r="BF84" s="12"/>
      <c r="BG84" s="12"/>
      <c r="BH84" s="12"/>
      <c r="BI84" s="12"/>
      <c r="BJ84" s="11">
        <v>3.42</v>
      </c>
      <c r="BK84" s="12"/>
      <c r="BL84" s="12"/>
      <c r="BM84" s="11">
        <v>2.3199999999999998</v>
      </c>
      <c r="BN84" s="12"/>
      <c r="BO84" s="12"/>
      <c r="BP84" s="12"/>
      <c r="BQ84" s="12"/>
    </row>
    <row r="85" spans="1:69" x14ac:dyDescent="0.25">
      <c r="A85" s="12"/>
      <c r="B85" s="4" t="s">
        <v>146</v>
      </c>
      <c r="C85" s="13">
        <v>45436</v>
      </c>
      <c r="D85" s="12"/>
      <c r="E85" s="12"/>
      <c r="F85" s="14" t="s">
        <v>124</v>
      </c>
      <c r="G85" s="12"/>
      <c r="H85" s="12"/>
      <c r="I85" s="14" t="s">
        <v>136</v>
      </c>
      <c r="J85" s="12"/>
      <c r="K85" s="12"/>
      <c r="L85" s="15">
        <v>6.6211032903207698</v>
      </c>
      <c r="M85" s="12"/>
      <c r="N85" s="12"/>
      <c r="O85" s="15">
        <v>15.552828034986099</v>
      </c>
      <c r="P85" s="12"/>
      <c r="Q85" s="12"/>
      <c r="R85" s="12"/>
      <c r="S85" s="16">
        <v>6.1715439000790404</v>
      </c>
      <c r="T85" s="12"/>
      <c r="U85" s="12"/>
      <c r="V85" s="14" t="s">
        <v>55</v>
      </c>
      <c r="W85" s="12"/>
      <c r="X85" s="13">
        <v>36722</v>
      </c>
      <c r="Y85" s="12"/>
      <c r="Z85" s="12"/>
      <c r="AA85" s="13">
        <v>55015</v>
      </c>
      <c r="AB85" s="12"/>
      <c r="AC85" s="12"/>
      <c r="AD85" s="15">
        <v>143</v>
      </c>
      <c r="AE85" s="12"/>
      <c r="AF85" s="12"/>
      <c r="AG85" s="12"/>
      <c r="AH85" s="12"/>
      <c r="AI85" s="17">
        <v>4122.5073599999996</v>
      </c>
      <c r="AJ85" s="12"/>
      <c r="AK85" s="12"/>
      <c r="AL85" s="12"/>
      <c r="AM85" s="11">
        <v>252002.51</v>
      </c>
      <c r="AN85" s="12"/>
      <c r="AO85" s="11">
        <v>0</v>
      </c>
      <c r="AP85" s="12"/>
      <c r="AQ85" s="12"/>
      <c r="AR85" s="12"/>
      <c r="AS85" s="12"/>
      <c r="AT85" s="12"/>
      <c r="AU85" s="12"/>
      <c r="AV85" s="11">
        <v>589518.55247999995</v>
      </c>
      <c r="AW85" s="11"/>
      <c r="AX85" s="11"/>
      <c r="AY85" s="11">
        <v>0</v>
      </c>
      <c r="AZ85" s="12"/>
      <c r="BA85" s="12"/>
      <c r="BB85" s="12"/>
      <c r="BC85" s="12"/>
      <c r="BD85" s="11">
        <v>243227.93</v>
      </c>
      <c r="BE85" s="12"/>
      <c r="BF85" s="12"/>
      <c r="BG85" s="12"/>
      <c r="BH85" s="12"/>
      <c r="BI85" s="12"/>
      <c r="BJ85" s="11">
        <v>0.87</v>
      </c>
      <c r="BK85" s="12"/>
      <c r="BL85" s="12"/>
      <c r="BM85" s="11">
        <v>0.59</v>
      </c>
      <c r="BN85" s="12"/>
      <c r="BO85" s="12"/>
      <c r="BP85" s="12"/>
      <c r="BQ85" s="12"/>
    </row>
    <row r="86" spans="1:69" x14ac:dyDescent="0.25">
      <c r="A86" s="12"/>
      <c r="B86" s="4" t="s">
        <v>147</v>
      </c>
      <c r="C86" s="13">
        <v>45457</v>
      </c>
      <c r="D86" s="12"/>
      <c r="E86" s="12"/>
      <c r="F86" s="14" t="s">
        <v>124</v>
      </c>
      <c r="G86" s="12"/>
      <c r="H86" s="12"/>
      <c r="I86" s="14" t="s">
        <v>136</v>
      </c>
      <c r="J86" s="12"/>
      <c r="K86" s="12"/>
      <c r="L86" s="15">
        <v>6.6211032903207698</v>
      </c>
      <c r="M86" s="12"/>
      <c r="N86" s="12"/>
      <c r="O86" s="15">
        <v>15.552828034986099</v>
      </c>
      <c r="P86" s="12"/>
      <c r="Q86" s="12"/>
      <c r="R86" s="12"/>
      <c r="S86" s="16">
        <v>6.4190073033907797</v>
      </c>
      <c r="T86" s="12"/>
      <c r="U86" s="12"/>
      <c r="V86" s="14" t="s">
        <v>55</v>
      </c>
      <c r="W86" s="12"/>
      <c r="X86" s="13">
        <v>36722</v>
      </c>
      <c r="Y86" s="12"/>
      <c r="Z86" s="12"/>
      <c r="AA86" s="13">
        <v>55015</v>
      </c>
      <c r="AB86" s="12"/>
      <c r="AC86" s="12"/>
      <c r="AD86" s="15">
        <v>110</v>
      </c>
      <c r="AE86" s="12"/>
      <c r="AF86" s="12"/>
      <c r="AG86" s="12"/>
      <c r="AH86" s="12"/>
      <c r="AI86" s="17">
        <v>4122.5073599999996</v>
      </c>
      <c r="AJ86" s="12"/>
      <c r="AK86" s="12"/>
      <c r="AL86" s="12"/>
      <c r="AM86" s="11">
        <v>500280.55</v>
      </c>
      <c r="AN86" s="12"/>
      <c r="AO86" s="11">
        <v>0</v>
      </c>
      <c r="AP86" s="12"/>
      <c r="AQ86" s="12"/>
      <c r="AR86" s="12"/>
      <c r="AS86" s="12"/>
      <c r="AT86" s="12"/>
      <c r="AU86" s="12"/>
      <c r="AV86" s="11">
        <v>453475.80959999998</v>
      </c>
      <c r="AW86" s="11"/>
      <c r="AX86" s="11"/>
      <c r="AY86" s="11">
        <v>0</v>
      </c>
      <c r="AZ86" s="12"/>
      <c r="BA86" s="12"/>
      <c r="BB86" s="12"/>
      <c r="BC86" s="12"/>
      <c r="BD86" s="11">
        <v>494700.88</v>
      </c>
      <c r="BE86" s="12"/>
      <c r="BF86" s="12"/>
      <c r="BG86" s="12"/>
      <c r="BH86" s="12"/>
      <c r="BI86" s="12"/>
      <c r="BJ86" s="11">
        <v>1.77</v>
      </c>
      <c r="BK86" s="12"/>
      <c r="BL86" s="12"/>
      <c r="BM86" s="11">
        <v>1.2</v>
      </c>
      <c r="BN86" s="12"/>
      <c r="BO86" s="12"/>
      <c r="BP86" s="12"/>
      <c r="BQ86" s="12"/>
    </row>
    <row r="87" spans="1:69" x14ac:dyDescent="0.25">
      <c r="A87" s="12"/>
      <c r="B87" s="4" t="s">
        <v>148</v>
      </c>
      <c r="C87" s="13">
        <v>45597</v>
      </c>
      <c r="D87" s="12"/>
      <c r="E87" s="12"/>
      <c r="F87" s="14" t="s">
        <v>124</v>
      </c>
      <c r="G87" s="12"/>
      <c r="H87" s="12"/>
      <c r="I87" s="14" t="s">
        <v>149</v>
      </c>
      <c r="J87" s="12"/>
      <c r="K87" s="12"/>
      <c r="L87" s="15">
        <v>6.95990470186607</v>
      </c>
      <c r="M87" s="12"/>
      <c r="N87" s="12"/>
      <c r="O87" s="15">
        <v>6.8184099001569196</v>
      </c>
      <c r="P87" s="12"/>
      <c r="Q87" s="12"/>
      <c r="R87" s="12"/>
      <c r="S87" s="16">
        <v>6.9607840441545203</v>
      </c>
      <c r="T87" s="12"/>
      <c r="U87" s="12"/>
      <c r="V87" s="14" t="s">
        <v>55</v>
      </c>
      <c r="W87" s="12"/>
      <c r="X87" s="13">
        <v>36722</v>
      </c>
      <c r="Y87" s="12"/>
      <c r="Z87" s="12"/>
      <c r="AA87" s="13">
        <v>46980</v>
      </c>
      <c r="AB87" s="12"/>
      <c r="AC87" s="12"/>
      <c r="AD87" s="15">
        <v>361</v>
      </c>
      <c r="AE87" s="12"/>
      <c r="AF87" s="12"/>
      <c r="AG87" s="12"/>
      <c r="AH87" s="12"/>
      <c r="AI87" s="17">
        <v>4301.3029660000002</v>
      </c>
      <c r="AJ87" s="12"/>
      <c r="AK87" s="12"/>
      <c r="AL87" s="12"/>
      <c r="AM87" s="11">
        <v>996327.58</v>
      </c>
      <c r="AN87" s="12"/>
      <c r="AO87" s="11">
        <v>0</v>
      </c>
      <c r="AP87" s="12"/>
      <c r="AQ87" s="12"/>
      <c r="AR87" s="12"/>
      <c r="AS87" s="12"/>
      <c r="AT87" s="12"/>
      <c r="AU87" s="12"/>
      <c r="AV87" s="10">
        <v>1552770.3707260001</v>
      </c>
      <c r="AW87" s="10"/>
      <c r="AX87" s="10"/>
      <c r="AY87" s="11">
        <v>0</v>
      </c>
      <c r="AZ87" s="12"/>
      <c r="BA87" s="12"/>
      <c r="BB87" s="12"/>
      <c r="BC87" s="12"/>
      <c r="BD87" s="11">
        <v>1002203.59</v>
      </c>
      <c r="BE87" s="12"/>
      <c r="BF87" s="12"/>
      <c r="BG87" s="12"/>
      <c r="BH87" s="12"/>
      <c r="BI87" s="12"/>
      <c r="BJ87" s="11">
        <v>3.58</v>
      </c>
      <c r="BK87" s="12"/>
      <c r="BL87" s="12"/>
      <c r="BM87" s="11">
        <v>2.4300000000000002</v>
      </c>
      <c r="BN87" s="12"/>
      <c r="BO87" s="12"/>
      <c r="BP87" s="12"/>
      <c r="BQ87" s="12"/>
    </row>
    <row r="88" spans="1:69" x14ac:dyDescent="0.25">
      <c r="A88" s="20"/>
      <c r="B88" s="7" t="s">
        <v>150</v>
      </c>
      <c r="C88" s="6"/>
      <c r="D88" s="6"/>
      <c r="E88" s="6"/>
      <c r="F88" s="7" t="s">
        <v>8</v>
      </c>
      <c r="G88" s="6"/>
      <c r="H88" s="6"/>
      <c r="I88" s="7" t="s">
        <v>8</v>
      </c>
      <c r="J88" s="6"/>
      <c r="K88" s="6"/>
      <c r="L88" s="7" t="s">
        <v>8</v>
      </c>
      <c r="M88" s="6"/>
      <c r="N88" s="6"/>
      <c r="O88" s="7" t="s">
        <v>8</v>
      </c>
      <c r="P88" s="6"/>
      <c r="Q88" s="6"/>
      <c r="R88" s="6"/>
      <c r="S88" s="7" t="s">
        <v>8</v>
      </c>
      <c r="T88" s="6"/>
      <c r="U88" s="6"/>
      <c r="V88" s="7" t="s">
        <v>8</v>
      </c>
      <c r="W88" s="6"/>
      <c r="X88" s="8" t="s">
        <v>8</v>
      </c>
      <c r="Y88" s="6"/>
      <c r="Z88" s="6"/>
      <c r="AA88" s="8" t="s">
        <v>8</v>
      </c>
      <c r="AB88" s="6"/>
      <c r="AC88" s="6"/>
      <c r="AD88" s="9">
        <v>2844</v>
      </c>
      <c r="AE88" s="6"/>
      <c r="AF88" s="6"/>
      <c r="AG88" s="6"/>
      <c r="AH88" s="6"/>
      <c r="AI88" s="7" t="s">
        <v>8</v>
      </c>
      <c r="AJ88" s="6"/>
      <c r="AK88" s="6"/>
      <c r="AL88" s="6"/>
      <c r="AM88" s="5">
        <v>11871815.039999999</v>
      </c>
      <c r="AN88" s="6"/>
      <c r="AO88" s="5">
        <v>0</v>
      </c>
      <c r="AP88" s="6"/>
      <c r="AQ88" s="6"/>
      <c r="AR88" s="6"/>
      <c r="AS88" s="6"/>
      <c r="AT88" s="6"/>
      <c r="AU88" s="6"/>
      <c r="AV88" s="5">
        <v>11833047.366721999</v>
      </c>
      <c r="AW88" s="5"/>
      <c r="AX88" s="5"/>
      <c r="AY88" s="5">
        <v>0</v>
      </c>
      <c r="AZ88" s="6"/>
      <c r="BA88" s="6"/>
      <c r="BB88" s="6"/>
      <c r="BC88" s="6"/>
      <c r="BD88" s="5">
        <v>11869473.49</v>
      </c>
      <c r="BE88" s="6"/>
      <c r="BF88" s="6"/>
      <c r="BG88" s="6"/>
      <c r="BH88" s="6"/>
      <c r="BI88" s="6"/>
      <c r="BJ88" s="5">
        <v>42.43</v>
      </c>
      <c r="BK88" s="6"/>
      <c r="BL88" s="6"/>
      <c r="BM88" s="5">
        <v>28.79</v>
      </c>
      <c r="BN88" s="6"/>
      <c r="BO88" s="6"/>
      <c r="BP88" s="6"/>
      <c r="BQ88" s="6"/>
    </row>
    <row r="89" spans="1:69" x14ac:dyDescent="0.25">
      <c r="A89" s="1" t="s">
        <v>8</v>
      </c>
      <c r="B89" s="7" t="s">
        <v>24</v>
      </c>
      <c r="C89" s="6"/>
      <c r="D89" s="6"/>
      <c r="E89" s="6"/>
      <c r="F89" s="7" t="s">
        <v>8</v>
      </c>
      <c r="G89" s="6"/>
      <c r="H89" s="6"/>
      <c r="I89" s="7" t="s">
        <v>8</v>
      </c>
      <c r="J89" s="6"/>
      <c r="K89" s="6"/>
      <c r="L89" s="7" t="s">
        <v>8</v>
      </c>
      <c r="M89" s="6"/>
      <c r="N89" s="6"/>
      <c r="O89" s="7" t="s">
        <v>8</v>
      </c>
      <c r="P89" s="6"/>
      <c r="Q89" s="6"/>
      <c r="R89" s="6"/>
      <c r="S89" s="7" t="s">
        <v>8</v>
      </c>
      <c r="T89" s="6"/>
      <c r="U89" s="6"/>
      <c r="V89" s="7" t="s">
        <v>8</v>
      </c>
      <c r="W89" s="6"/>
      <c r="X89" s="8" t="s">
        <v>8</v>
      </c>
      <c r="Y89" s="6"/>
      <c r="Z89" s="6"/>
      <c r="AA89" s="8" t="s">
        <v>8</v>
      </c>
      <c r="AB89" s="6"/>
      <c r="AC89" s="6"/>
      <c r="AD89" s="9"/>
      <c r="AE89" s="6"/>
      <c r="AF89" s="6"/>
      <c r="AG89" s="6"/>
      <c r="AH89" s="6"/>
      <c r="AI89" s="7"/>
      <c r="AJ89" s="6"/>
      <c r="AK89" s="6"/>
      <c r="AL89" s="6"/>
      <c r="AM89" s="5"/>
      <c r="AN89" s="6"/>
      <c r="AO89" s="5">
        <v>0</v>
      </c>
      <c r="AP89" s="6"/>
      <c r="AQ89" s="6"/>
      <c r="AR89" s="6"/>
      <c r="AS89" s="6"/>
      <c r="AT89" s="6"/>
      <c r="AU89" s="6"/>
      <c r="AV89" s="5">
        <v>346335097.04938829</v>
      </c>
      <c r="AW89" s="5"/>
      <c r="AX89" s="5"/>
      <c r="AY89" s="5">
        <v>0</v>
      </c>
      <c r="AZ89" s="6"/>
      <c r="BA89" s="6"/>
      <c r="BB89" s="6"/>
      <c r="BC89" s="6"/>
      <c r="BD89" s="5"/>
      <c r="BE89" s="6"/>
      <c r="BF89" s="6"/>
      <c r="BG89" s="6"/>
      <c r="BH89" s="6"/>
      <c r="BI89" s="6"/>
      <c r="BJ89" s="5"/>
      <c r="BK89" s="6"/>
      <c r="BL89" s="6"/>
      <c r="BM89" s="5"/>
      <c r="BN89" s="6"/>
      <c r="BO89" s="6"/>
      <c r="BP89" s="6"/>
      <c r="BQ89" s="6"/>
    </row>
    <row r="90" spans="1:69" ht="18.95" customHeight="1" x14ac:dyDescent="0.25"/>
    <row r="91" spans="1:69" ht="0" hidden="1" customHeight="1" x14ac:dyDescent="0.25"/>
  </sheetData>
  <mergeCells count="1312">
    <mergeCell ref="A1:AE1"/>
    <mergeCell ref="BE1:BO4"/>
    <mergeCell ref="A2:F2"/>
    <mergeCell ref="H2:AD2"/>
    <mergeCell ref="A4:F5"/>
    <mergeCell ref="H4:AD5"/>
    <mergeCell ref="AC10:AI10"/>
    <mergeCell ref="AJ10:AM10"/>
    <mergeCell ref="AN10:AP10"/>
    <mergeCell ref="AQ10:AW10"/>
    <mergeCell ref="A10:C10"/>
    <mergeCell ref="D10:L10"/>
    <mergeCell ref="M10:P10"/>
    <mergeCell ref="Q10:T10"/>
    <mergeCell ref="U10:X10"/>
    <mergeCell ref="A6:F6"/>
    <mergeCell ref="H6:AD6"/>
    <mergeCell ref="A8:BN8"/>
    <mergeCell ref="A9:L9"/>
    <mergeCell ref="M9:P9"/>
    <mergeCell ref="Q9:T9"/>
    <mergeCell ref="U9:X9"/>
    <mergeCell ref="Y9:AB9"/>
    <mergeCell ref="AC9:AI9"/>
    <mergeCell ref="AJ9:AM9"/>
    <mergeCell ref="AN9:AP9"/>
    <mergeCell ref="AQ9:AW9"/>
    <mergeCell ref="AX9:AY9"/>
    <mergeCell ref="AZ9:BE9"/>
    <mergeCell ref="BF9:BJ9"/>
    <mergeCell ref="BK9:BN9"/>
    <mergeCell ref="A12:L12"/>
    <mergeCell ref="M12:P12"/>
    <mergeCell ref="Q12:T12"/>
    <mergeCell ref="U12:X12"/>
    <mergeCell ref="Y12:AB12"/>
    <mergeCell ref="AC12:AI12"/>
    <mergeCell ref="AJ12:AM12"/>
    <mergeCell ref="AN12:AP12"/>
    <mergeCell ref="AQ12:AW12"/>
    <mergeCell ref="AX12:AY12"/>
    <mergeCell ref="AZ12:BE12"/>
    <mergeCell ref="BF12:BJ12"/>
    <mergeCell ref="BK12:BN12"/>
    <mergeCell ref="BF11:BJ11"/>
    <mergeCell ref="BK11:BN11"/>
    <mergeCell ref="AX10:AY10"/>
    <mergeCell ref="AZ10:BE10"/>
    <mergeCell ref="BF10:BJ10"/>
    <mergeCell ref="BK10:BN10"/>
    <mergeCell ref="A11:C11"/>
    <mergeCell ref="D11:L11"/>
    <mergeCell ref="M11:P11"/>
    <mergeCell ref="Q11:T11"/>
    <mergeCell ref="U11:X11"/>
    <mergeCell ref="Y11:AB11"/>
    <mergeCell ref="AC11:AI11"/>
    <mergeCell ref="AJ11:AM11"/>
    <mergeCell ref="AN11:AP11"/>
    <mergeCell ref="AQ11:AW11"/>
    <mergeCell ref="AX11:AY11"/>
    <mergeCell ref="AZ11:BE11"/>
    <mergeCell ref="Y10:AB10"/>
    <mergeCell ref="AZ13:BE13"/>
    <mergeCell ref="BF13:BJ13"/>
    <mergeCell ref="BK13:BN13"/>
    <mergeCell ref="A16:BP16"/>
    <mergeCell ref="A17:D17"/>
    <mergeCell ref="E17:M17"/>
    <mergeCell ref="N17:V17"/>
    <mergeCell ref="W17:AA17"/>
    <mergeCell ref="AB17:AG17"/>
    <mergeCell ref="AH17:AK17"/>
    <mergeCell ref="AL17:AO17"/>
    <mergeCell ref="AP17:AV17"/>
    <mergeCell ref="AW17:BB17"/>
    <mergeCell ref="BC17:BF17"/>
    <mergeCell ref="BG17:BK17"/>
    <mergeCell ref="BL17:BP17"/>
    <mergeCell ref="AC13:AI13"/>
    <mergeCell ref="AJ13:AM13"/>
    <mergeCell ref="AN13:AP13"/>
    <mergeCell ref="AQ13:AW13"/>
    <mergeCell ref="AX13:AY13"/>
    <mergeCell ref="A13:L13"/>
    <mergeCell ref="M13:P13"/>
    <mergeCell ref="Q13:T13"/>
    <mergeCell ref="U13:X13"/>
    <mergeCell ref="Y13:AB13"/>
    <mergeCell ref="AL19:AO19"/>
    <mergeCell ref="AP19:AV19"/>
    <mergeCell ref="AW19:BB19"/>
    <mergeCell ref="BC19:BF19"/>
    <mergeCell ref="BG19:BK19"/>
    <mergeCell ref="A19:M19"/>
    <mergeCell ref="N19:V19"/>
    <mergeCell ref="W19:AA19"/>
    <mergeCell ref="AB19:AG19"/>
    <mergeCell ref="AH19:AK19"/>
    <mergeCell ref="BG18:BK18"/>
    <mergeCell ref="BL18:BP18"/>
    <mergeCell ref="AH18:AK18"/>
    <mergeCell ref="AL18:AO18"/>
    <mergeCell ref="AP18:AV18"/>
    <mergeCell ref="AW18:BB18"/>
    <mergeCell ref="BC18:BF18"/>
    <mergeCell ref="A18:D18"/>
    <mergeCell ref="E18:M18"/>
    <mergeCell ref="N18:V18"/>
    <mergeCell ref="W18:AA18"/>
    <mergeCell ref="AB18:AG18"/>
    <mergeCell ref="AY23:BC23"/>
    <mergeCell ref="BD23:BI23"/>
    <mergeCell ref="BJ23:BL23"/>
    <mergeCell ref="BM23:BQ23"/>
    <mergeCell ref="A24:A88"/>
    <mergeCell ref="B24:E24"/>
    <mergeCell ref="F24:H24"/>
    <mergeCell ref="I24:K24"/>
    <mergeCell ref="L24:N24"/>
    <mergeCell ref="O24:R24"/>
    <mergeCell ref="S24:U24"/>
    <mergeCell ref="V24:W24"/>
    <mergeCell ref="X24:Z24"/>
    <mergeCell ref="AA24:AC24"/>
    <mergeCell ref="AD24:AH24"/>
    <mergeCell ref="AI24:AL24"/>
    <mergeCell ref="BL19:BP19"/>
    <mergeCell ref="B22:BQ22"/>
    <mergeCell ref="C23:E23"/>
    <mergeCell ref="F23:H23"/>
    <mergeCell ref="I23:K23"/>
    <mergeCell ref="L23:N23"/>
    <mergeCell ref="O23:R23"/>
    <mergeCell ref="S23:U23"/>
    <mergeCell ref="V23:W23"/>
    <mergeCell ref="X23:Z23"/>
    <mergeCell ref="AA23:AC23"/>
    <mergeCell ref="AD23:AH23"/>
    <mergeCell ref="AI23:AL23"/>
    <mergeCell ref="AM23:AN23"/>
    <mergeCell ref="AO23:AU23"/>
    <mergeCell ref="AV23:AX23"/>
    <mergeCell ref="BJ24:BL24"/>
    <mergeCell ref="BM24:BQ24"/>
    <mergeCell ref="B25:H25"/>
    <mergeCell ref="I25:K25"/>
    <mergeCell ref="L25:N25"/>
    <mergeCell ref="O25:R25"/>
    <mergeCell ref="S25:U25"/>
    <mergeCell ref="V25:W25"/>
    <mergeCell ref="X25:Z25"/>
    <mergeCell ref="AA25:AC25"/>
    <mergeCell ref="AD25:AH25"/>
    <mergeCell ref="AI25:AL25"/>
    <mergeCell ref="AM25:AN25"/>
    <mergeCell ref="AO25:AU25"/>
    <mergeCell ref="AV25:AX25"/>
    <mergeCell ref="AY25:BC25"/>
    <mergeCell ref="AM24:AN24"/>
    <mergeCell ref="AO24:AU24"/>
    <mergeCell ref="AV24:AX24"/>
    <mergeCell ref="AY24:BC24"/>
    <mergeCell ref="BD24:BI24"/>
    <mergeCell ref="F27:H27"/>
    <mergeCell ref="I27:K27"/>
    <mergeCell ref="L27:N27"/>
    <mergeCell ref="O27:R27"/>
    <mergeCell ref="AV26:AX26"/>
    <mergeCell ref="AY26:BC26"/>
    <mergeCell ref="BD26:BI26"/>
    <mergeCell ref="BJ26:BL26"/>
    <mergeCell ref="BM26:BQ26"/>
    <mergeCell ref="BD25:BI25"/>
    <mergeCell ref="BJ25:BL25"/>
    <mergeCell ref="BM25:BQ25"/>
    <mergeCell ref="C26:E26"/>
    <mergeCell ref="F26:H26"/>
    <mergeCell ref="I26:K26"/>
    <mergeCell ref="L26:N26"/>
    <mergeCell ref="O26:R26"/>
    <mergeCell ref="S26:U26"/>
    <mergeCell ref="V26:W26"/>
    <mergeCell ref="X26:Z26"/>
    <mergeCell ref="AA26:AC26"/>
    <mergeCell ref="AD26:AH26"/>
    <mergeCell ref="AI26:AL26"/>
    <mergeCell ref="AM26:AN26"/>
    <mergeCell ref="AO26:AU26"/>
    <mergeCell ref="AV28:AX28"/>
    <mergeCell ref="AY28:BC28"/>
    <mergeCell ref="BD28:BI28"/>
    <mergeCell ref="BJ28:BL28"/>
    <mergeCell ref="BM28:BQ28"/>
    <mergeCell ref="BD27:BI27"/>
    <mergeCell ref="BJ27:BL27"/>
    <mergeCell ref="BM27:BQ27"/>
    <mergeCell ref="B28:E28"/>
    <mergeCell ref="F28:H28"/>
    <mergeCell ref="I28:K28"/>
    <mergeCell ref="L28:N28"/>
    <mergeCell ref="O28:R28"/>
    <mergeCell ref="S28:U28"/>
    <mergeCell ref="V28:W28"/>
    <mergeCell ref="X28:Z28"/>
    <mergeCell ref="AA28:AC28"/>
    <mergeCell ref="AD28:AH28"/>
    <mergeCell ref="AI28:AL28"/>
    <mergeCell ref="AM28:AN28"/>
    <mergeCell ref="AO28:AU28"/>
    <mergeCell ref="AI27:AL27"/>
    <mergeCell ref="AM27:AN27"/>
    <mergeCell ref="AO27:AU27"/>
    <mergeCell ref="AV27:AX27"/>
    <mergeCell ref="AY27:BC27"/>
    <mergeCell ref="S27:U27"/>
    <mergeCell ref="V27:W27"/>
    <mergeCell ref="X27:Z27"/>
    <mergeCell ref="AA27:AC27"/>
    <mergeCell ref="AD27:AH27"/>
    <mergeCell ref="B27:E27"/>
    <mergeCell ref="BJ29:BL29"/>
    <mergeCell ref="BM29:BQ29"/>
    <mergeCell ref="C30:E30"/>
    <mergeCell ref="F30:H30"/>
    <mergeCell ref="I30:K30"/>
    <mergeCell ref="L30:N30"/>
    <mergeCell ref="O30:R30"/>
    <mergeCell ref="S30:U30"/>
    <mergeCell ref="V30:W30"/>
    <mergeCell ref="X30:Z30"/>
    <mergeCell ref="AA30:AC30"/>
    <mergeCell ref="AD30:AH30"/>
    <mergeCell ref="AI30:AL30"/>
    <mergeCell ref="AM30:AN30"/>
    <mergeCell ref="AO30:AU30"/>
    <mergeCell ref="AV30:AX30"/>
    <mergeCell ref="AM29:AN29"/>
    <mergeCell ref="AO29:AU29"/>
    <mergeCell ref="AV29:AX29"/>
    <mergeCell ref="AY29:BC29"/>
    <mergeCell ref="BD29:BI29"/>
    <mergeCell ref="V29:W29"/>
    <mergeCell ref="X29:Z29"/>
    <mergeCell ref="AA29:AC29"/>
    <mergeCell ref="AD29:AH29"/>
    <mergeCell ref="AI29:AL29"/>
    <mergeCell ref="B29:H29"/>
    <mergeCell ref="I29:K29"/>
    <mergeCell ref="L29:N29"/>
    <mergeCell ref="O29:R29"/>
    <mergeCell ref="S29:U29"/>
    <mergeCell ref="AO31:AU31"/>
    <mergeCell ref="AV31:AX31"/>
    <mergeCell ref="AY31:BC31"/>
    <mergeCell ref="BD31:BI31"/>
    <mergeCell ref="BJ31:BL31"/>
    <mergeCell ref="AY30:BC30"/>
    <mergeCell ref="BD30:BI30"/>
    <mergeCell ref="BJ30:BL30"/>
    <mergeCell ref="BM30:BQ30"/>
    <mergeCell ref="B31:E31"/>
    <mergeCell ref="F31:H31"/>
    <mergeCell ref="I31:K31"/>
    <mergeCell ref="L31:N31"/>
    <mergeCell ref="O31:R31"/>
    <mergeCell ref="S31:U31"/>
    <mergeCell ref="V31:W31"/>
    <mergeCell ref="X31:Z31"/>
    <mergeCell ref="AA31:AC31"/>
    <mergeCell ref="AD31:AH31"/>
    <mergeCell ref="AI31:AL31"/>
    <mergeCell ref="AM31:AN31"/>
    <mergeCell ref="BD32:BI32"/>
    <mergeCell ref="BJ32:BL32"/>
    <mergeCell ref="BM32:BQ32"/>
    <mergeCell ref="B33:H33"/>
    <mergeCell ref="I33:K33"/>
    <mergeCell ref="L33:N33"/>
    <mergeCell ref="O33:R33"/>
    <mergeCell ref="S33:U33"/>
    <mergeCell ref="V33:W33"/>
    <mergeCell ref="X33:Z33"/>
    <mergeCell ref="AA33:AC33"/>
    <mergeCell ref="AD33:AH33"/>
    <mergeCell ref="AI33:AL33"/>
    <mergeCell ref="AM33:AN33"/>
    <mergeCell ref="AO33:AU33"/>
    <mergeCell ref="AV33:AX33"/>
    <mergeCell ref="BM31:BQ31"/>
    <mergeCell ref="B32:E32"/>
    <mergeCell ref="F32:H32"/>
    <mergeCell ref="I32:K32"/>
    <mergeCell ref="L32:N32"/>
    <mergeCell ref="O32:R32"/>
    <mergeCell ref="S32:U32"/>
    <mergeCell ref="V32:W32"/>
    <mergeCell ref="X32:Z32"/>
    <mergeCell ref="AA32:AC32"/>
    <mergeCell ref="AD32:AH32"/>
    <mergeCell ref="AI32:AL32"/>
    <mergeCell ref="AM32:AN32"/>
    <mergeCell ref="AO32:AU32"/>
    <mergeCell ref="AV32:AX32"/>
    <mergeCell ref="AY32:BC32"/>
    <mergeCell ref="AO34:AU34"/>
    <mergeCell ref="AV34:AX34"/>
    <mergeCell ref="AY34:BC34"/>
    <mergeCell ref="BD34:BI34"/>
    <mergeCell ref="BJ34:BL34"/>
    <mergeCell ref="AY33:BC33"/>
    <mergeCell ref="BD33:BI33"/>
    <mergeCell ref="BJ33:BL33"/>
    <mergeCell ref="BM33:BQ33"/>
    <mergeCell ref="C34:E34"/>
    <mergeCell ref="F34:H34"/>
    <mergeCell ref="I34:K34"/>
    <mergeCell ref="L34:N34"/>
    <mergeCell ref="O34:R34"/>
    <mergeCell ref="S34:U34"/>
    <mergeCell ref="V34:W34"/>
    <mergeCell ref="X34:Z34"/>
    <mergeCell ref="AA34:AC34"/>
    <mergeCell ref="AD34:AH34"/>
    <mergeCell ref="AI34:AL34"/>
    <mergeCell ref="AM34:AN34"/>
    <mergeCell ref="BD35:BI35"/>
    <mergeCell ref="BJ35:BL35"/>
    <mergeCell ref="BM35:BQ35"/>
    <mergeCell ref="C36:E36"/>
    <mergeCell ref="F36:H36"/>
    <mergeCell ref="I36:K36"/>
    <mergeCell ref="L36:N36"/>
    <mergeCell ref="O36:R36"/>
    <mergeCell ref="S36:U36"/>
    <mergeCell ref="V36:W36"/>
    <mergeCell ref="X36:Z36"/>
    <mergeCell ref="AA36:AC36"/>
    <mergeCell ref="AD36:AH36"/>
    <mergeCell ref="AI36:AL36"/>
    <mergeCell ref="AM36:AN36"/>
    <mergeCell ref="AO36:AU36"/>
    <mergeCell ref="BM34:BQ34"/>
    <mergeCell ref="C35:E35"/>
    <mergeCell ref="F35:H35"/>
    <mergeCell ref="I35:K35"/>
    <mergeCell ref="L35:N35"/>
    <mergeCell ref="O35:R35"/>
    <mergeCell ref="S35:U35"/>
    <mergeCell ref="V35:W35"/>
    <mergeCell ref="X35:Z35"/>
    <mergeCell ref="AA35:AC35"/>
    <mergeCell ref="AD35:AH35"/>
    <mergeCell ref="AI35:AL35"/>
    <mergeCell ref="AM35:AN35"/>
    <mergeCell ref="AO35:AU35"/>
    <mergeCell ref="AV35:AX35"/>
    <mergeCell ref="AY35:BC35"/>
    <mergeCell ref="AV37:AX37"/>
    <mergeCell ref="AY37:BC37"/>
    <mergeCell ref="S37:U37"/>
    <mergeCell ref="V37:W37"/>
    <mergeCell ref="X37:Z37"/>
    <mergeCell ref="AA37:AC37"/>
    <mergeCell ref="AD37:AH37"/>
    <mergeCell ref="C37:E37"/>
    <mergeCell ref="F37:H37"/>
    <mergeCell ref="I37:K37"/>
    <mergeCell ref="L37:N37"/>
    <mergeCell ref="O37:R37"/>
    <mergeCell ref="AV36:AX36"/>
    <mergeCell ref="AY36:BC36"/>
    <mergeCell ref="BD36:BI36"/>
    <mergeCell ref="BJ36:BL36"/>
    <mergeCell ref="BM36:BQ36"/>
    <mergeCell ref="X39:Z39"/>
    <mergeCell ref="AA39:AC39"/>
    <mergeCell ref="AD39:AH39"/>
    <mergeCell ref="C39:E39"/>
    <mergeCell ref="F39:H39"/>
    <mergeCell ref="I39:K39"/>
    <mergeCell ref="L39:N39"/>
    <mergeCell ref="O39:R39"/>
    <mergeCell ref="AV38:AX38"/>
    <mergeCell ref="AY38:BC38"/>
    <mergeCell ref="BD38:BI38"/>
    <mergeCell ref="BJ38:BL38"/>
    <mergeCell ref="BM38:BQ38"/>
    <mergeCell ref="BD37:BI37"/>
    <mergeCell ref="BJ37:BL37"/>
    <mergeCell ref="BM37:BQ37"/>
    <mergeCell ref="C38:E38"/>
    <mergeCell ref="F38:H38"/>
    <mergeCell ref="I38:K38"/>
    <mergeCell ref="L38:N38"/>
    <mergeCell ref="O38:R38"/>
    <mergeCell ref="S38:U38"/>
    <mergeCell ref="V38:W38"/>
    <mergeCell ref="X38:Z38"/>
    <mergeCell ref="AA38:AC38"/>
    <mergeCell ref="AD38:AH38"/>
    <mergeCell ref="AI38:AL38"/>
    <mergeCell ref="AM38:AN38"/>
    <mergeCell ref="AO38:AU38"/>
    <mergeCell ref="AI37:AL37"/>
    <mergeCell ref="AM37:AN37"/>
    <mergeCell ref="AO37:AU37"/>
    <mergeCell ref="F41:H41"/>
    <mergeCell ref="I41:K41"/>
    <mergeCell ref="L41:N41"/>
    <mergeCell ref="O41:R41"/>
    <mergeCell ref="AV40:AX40"/>
    <mergeCell ref="AY40:BC40"/>
    <mergeCell ref="BD40:BI40"/>
    <mergeCell ref="BJ40:BL40"/>
    <mergeCell ref="BM40:BQ40"/>
    <mergeCell ref="BD39:BI39"/>
    <mergeCell ref="BJ39:BL39"/>
    <mergeCell ref="BM39:BQ39"/>
    <mergeCell ref="C40:E40"/>
    <mergeCell ref="F40:H40"/>
    <mergeCell ref="I40:K40"/>
    <mergeCell ref="L40:N40"/>
    <mergeCell ref="O40:R40"/>
    <mergeCell ref="S40:U40"/>
    <mergeCell ref="V40:W40"/>
    <mergeCell ref="X40:Z40"/>
    <mergeCell ref="AA40:AC40"/>
    <mergeCell ref="AD40:AH40"/>
    <mergeCell ref="AI40:AL40"/>
    <mergeCell ref="AM40:AN40"/>
    <mergeCell ref="AO40:AU40"/>
    <mergeCell ref="AI39:AL39"/>
    <mergeCell ref="AM39:AN39"/>
    <mergeCell ref="AO39:AU39"/>
    <mergeCell ref="AV39:AX39"/>
    <mergeCell ref="AY39:BC39"/>
    <mergeCell ref="S39:U39"/>
    <mergeCell ref="V39:W39"/>
    <mergeCell ref="AV42:AX42"/>
    <mergeCell ref="AY42:BC42"/>
    <mergeCell ref="BD42:BI42"/>
    <mergeCell ref="BJ42:BL42"/>
    <mergeCell ref="BM42:BQ42"/>
    <mergeCell ref="BD41:BI41"/>
    <mergeCell ref="BJ41:BL41"/>
    <mergeCell ref="BM41:BQ41"/>
    <mergeCell ref="C42:E42"/>
    <mergeCell ref="F42:H42"/>
    <mergeCell ref="I42:K42"/>
    <mergeCell ref="L42:N42"/>
    <mergeCell ref="O42:R42"/>
    <mergeCell ref="S42:U42"/>
    <mergeCell ref="V42:W42"/>
    <mergeCell ref="X42:Z42"/>
    <mergeCell ref="AA42:AC42"/>
    <mergeCell ref="AD42:AH42"/>
    <mergeCell ref="AI42:AL42"/>
    <mergeCell ref="AM42:AN42"/>
    <mergeCell ref="AO42:AU42"/>
    <mergeCell ref="AI41:AL41"/>
    <mergeCell ref="AM41:AN41"/>
    <mergeCell ref="AO41:AU41"/>
    <mergeCell ref="AV41:AX41"/>
    <mergeCell ref="AY41:BC41"/>
    <mergeCell ref="S41:U41"/>
    <mergeCell ref="V41:W41"/>
    <mergeCell ref="X41:Z41"/>
    <mergeCell ref="AA41:AC41"/>
    <mergeCell ref="AD41:AH41"/>
    <mergeCell ref="C41:E41"/>
    <mergeCell ref="BM44:BQ44"/>
    <mergeCell ref="BD43:BI43"/>
    <mergeCell ref="BJ43:BL43"/>
    <mergeCell ref="BM43:BQ43"/>
    <mergeCell ref="C44:E44"/>
    <mergeCell ref="F44:H44"/>
    <mergeCell ref="I44:K44"/>
    <mergeCell ref="L44:N44"/>
    <mergeCell ref="O44:R44"/>
    <mergeCell ref="S44:U44"/>
    <mergeCell ref="V44:W44"/>
    <mergeCell ref="X44:Z44"/>
    <mergeCell ref="AA44:AC44"/>
    <mergeCell ref="AD44:AH44"/>
    <mergeCell ref="AI44:AL44"/>
    <mergeCell ref="AM44:AN44"/>
    <mergeCell ref="AO44:AU44"/>
    <mergeCell ref="AI43:AL43"/>
    <mergeCell ref="AM43:AN43"/>
    <mergeCell ref="AO43:AU43"/>
    <mergeCell ref="AV43:AX43"/>
    <mergeCell ref="AY43:BC43"/>
    <mergeCell ref="S43:U43"/>
    <mergeCell ref="V43:W43"/>
    <mergeCell ref="X43:Z43"/>
    <mergeCell ref="AA43:AC43"/>
    <mergeCell ref="AD43:AH43"/>
    <mergeCell ref="C43:E43"/>
    <mergeCell ref="F43:H43"/>
    <mergeCell ref="I43:K43"/>
    <mergeCell ref="L43:N43"/>
    <mergeCell ref="O43:R43"/>
    <mergeCell ref="AO45:AU45"/>
    <mergeCell ref="AV45:AX45"/>
    <mergeCell ref="AY45:BC45"/>
    <mergeCell ref="S45:U45"/>
    <mergeCell ref="V45:W45"/>
    <mergeCell ref="X45:Z45"/>
    <mergeCell ref="AA45:AC45"/>
    <mergeCell ref="AD45:AH45"/>
    <mergeCell ref="C45:E45"/>
    <mergeCell ref="F45:H45"/>
    <mergeCell ref="I45:K45"/>
    <mergeCell ref="L45:N45"/>
    <mergeCell ref="O45:R45"/>
    <mergeCell ref="AV44:AX44"/>
    <mergeCell ref="AY44:BC44"/>
    <mergeCell ref="BD44:BI44"/>
    <mergeCell ref="BJ44:BL44"/>
    <mergeCell ref="V47:W47"/>
    <mergeCell ref="X47:Z47"/>
    <mergeCell ref="AA47:AC47"/>
    <mergeCell ref="AD47:AH47"/>
    <mergeCell ref="C47:E47"/>
    <mergeCell ref="F47:H47"/>
    <mergeCell ref="I47:K47"/>
    <mergeCell ref="L47:N47"/>
    <mergeCell ref="O47:R47"/>
    <mergeCell ref="AV46:AX46"/>
    <mergeCell ref="AY46:BC46"/>
    <mergeCell ref="BD46:BI46"/>
    <mergeCell ref="BJ46:BL46"/>
    <mergeCell ref="BM46:BQ46"/>
    <mergeCell ref="BD45:BI45"/>
    <mergeCell ref="BJ45:BL45"/>
    <mergeCell ref="BM45:BQ45"/>
    <mergeCell ref="C46:E46"/>
    <mergeCell ref="F46:H46"/>
    <mergeCell ref="I46:K46"/>
    <mergeCell ref="L46:N46"/>
    <mergeCell ref="O46:R46"/>
    <mergeCell ref="S46:U46"/>
    <mergeCell ref="V46:W46"/>
    <mergeCell ref="X46:Z46"/>
    <mergeCell ref="AA46:AC46"/>
    <mergeCell ref="AD46:AH46"/>
    <mergeCell ref="AI46:AL46"/>
    <mergeCell ref="AM46:AN46"/>
    <mergeCell ref="AO46:AU46"/>
    <mergeCell ref="AI45:AL45"/>
    <mergeCell ref="AM45:AN45"/>
    <mergeCell ref="C49:E49"/>
    <mergeCell ref="F49:H49"/>
    <mergeCell ref="I49:K49"/>
    <mergeCell ref="L49:N49"/>
    <mergeCell ref="O49:R49"/>
    <mergeCell ref="AV48:AX48"/>
    <mergeCell ref="AY48:BC48"/>
    <mergeCell ref="BD48:BI48"/>
    <mergeCell ref="BJ48:BL48"/>
    <mergeCell ref="BM48:BQ48"/>
    <mergeCell ref="BD47:BI47"/>
    <mergeCell ref="BJ47:BL47"/>
    <mergeCell ref="BM47:BQ47"/>
    <mergeCell ref="C48:E48"/>
    <mergeCell ref="F48:H48"/>
    <mergeCell ref="I48:K48"/>
    <mergeCell ref="L48:N48"/>
    <mergeCell ref="O48:R48"/>
    <mergeCell ref="S48:U48"/>
    <mergeCell ref="V48:W48"/>
    <mergeCell ref="X48:Z48"/>
    <mergeCell ref="AA48:AC48"/>
    <mergeCell ref="AD48:AH48"/>
    <mergeCell ref="AI48:AL48"/>
    <mergeCell ref="AM48:AN48"/>
    <mergeCell ref="AO48:AU48"/>
    <mergeCell ref="AI47:AL47"/>
    <mergeCell ref="AM47:AN47"/>
    <mergeCell ref="AO47:AU47"/>
    <mergeCell ref="AV47:AX47"/>
    <mergeCell ref="AY47:BC47"/>
    <mergeCell ref="S47:U47"/>
    <mergeCell ref="O51:R51"/>
    <mergeCell ref="AV50:AX50"/>
    <mergeCell ref="AY50:BC50"/>
    <mergeCell ref="BD50:BI50"/>
    <mergeCell ref="BJ50:BL50"/>
    <mergeCell ref="BM50:BQ50"/>
    <mergeCell ref="BD49:BI49"/>
    <mergeCell ref="BJ49:BL49"/>
    <mergeCell ref="BM49:BQ49"/>
    <mergeCell ref="C50:E50"/>
    <mergeCell ref="F50:H50"/>
    <mergeCell ref="I50:K50"/>
    <mergeCell ref="L50:N50"/>
    <mergeCell ref="O50:R50"/>
    <mergeCell ref="S50:U50"/>
    <mergeCell ref="V50:W50"/>
    <mergeCell ref="X50:Z50"/>
    <mergeCell ref="AA50:AC50"/>
    <mergeCell ref="AD50:AH50"/>
    <mergeCell ref="AI50:AL50"/>
    <mergeCell ref="AM50:AN50"/>
    <mergeCell ref="AO50:AU50"/>
    <mergeCell ref="AI49:AL49"/>
    <mergeCell ref="AM49:AN49"/>
    <mergeCell ref="AO49:AU49"/>
    <mergeCell ref="AV49:AX49"/>
    <mergeCell ref="AY49:BC49"/>
    <mergeCell ref="S49:U49"/>
    <mergeCell ref="V49:W49"/>
    <mergeCell ref="X49:Z49"/>
    <mergeCell ref="AA49:AC49"/>
    <mergeCell ref="AD49:AH49"/>
    <mergeCell ref="BJ52:BL52"/>
    <mergeCell ref="BM52:BQ52"/>
    <mergeCell ref="BD51:BI51"/>
    <mergeCell ref="BJ51:BL51"/>
    <mergeCell ref="BM51:BQ51"/>
    <mergeCell ref="B52:E52"/>
    <mergeCell ref="F52:H52"/>
    <mergeCell ref="I52:K52"/>
    <mergeCell ref="L52:N52"/>
    <mergeCell ref="O52:R52"/>
    <mergeCell ref="S52:U52"/>
    <mergeCell ref="V52:W52"/>
    <mergeCell ref="X52:Z52"/>
    <mergeCell ref="AA52:AC52"/>
    <mergeCell ref="AD52:AH52"/>
    <mergeCell ref="AI52:AL52"/>
    <mergeCell ref="AM52:AN52"/>
    <mergeCell ref="AO52:AU52"/>
    <mergeCell ref="AI51:AL51"/>
    <mergeCell ref="AM51:AN51"/>
    <mergeCell ref="AO51:AU51"/>
    <mergeCell ref="AV51:AX51"/>
    <mergeCell ref="AY51:BC51"/>
    <mergeCell ref="S51:U51"/>
    <mergeCell ref="V51:W51"/>
    <mergeCell ref="X51:Z51"/>
    <mergeCell ref="AA51:AC51"/>
    <mergeCell ref="AD51:AH51"/>
    <mergeCell ref="B51:E51"/>
    <mergeCell ref="F51:H51"/>
    <mergeCell ref="I51:K51"/>
    <mergeCell ref="L51:N51"/>
    <mergeCell ref="AM53:AN53"/>
    <mergeCell ref="AO53:AU53"/>
    <mergeCell ref="AV53:AX53"/>
    <mergeCell ref="AY53:BC53"/>
    <mergeCell ref="BD53:BI53"/>
    <mergeCell ref="V53:W53"/>
    <mergeCell ref="X53:Z53"/>
    <mergeCell ref="AA53:AC53"/>
    <mergeCell ref="AD53:AH53"/>
    <mergeCell ref="AI53:AL53"/>
    <mergeCell ref="B53:H53"/>
    <mergeCell ref="I53:K53"/>
    <mergeCell ref="L53:N53"/>
    <mergeCell ref="O53:R53"/>
    <mergeCell ref="S53:U53"/>
    <mergeCell ref="AV52:AX52"/>
    <mergeCell ref="AY52:BC52"/>
    <mergeCell ref="BD52:BI52"/>
    <mergeCell ref="AY54:BC54"/>
    <mergeCell ref="BD54:BI54"/>
    <mergeCell ref="BJ54:BL54"/>
    <mergeCell ref="BM54:BQ54"/>
    <mergeCell ref="B55:E55"/>
    <mergeCell ref="F55:H55"/>
    <mergeCell ref="I55:K55"/>
    <mergeCell ref="L55:N55"/>
    <mergeCell ref="O55:R55"/>
    <mergeCell ref="S55:U55"/>
    <mergeCell ref="V55:W55"/>
    <mergeCell ref="X55:Z55"/>
    <mergeCell ref="AA55:AC55"/>
    <mergeCell ref="AD55:AH55"/>
    <mergeCell ref="AI55:AL55"/>
    <mergeCell ref="AM55:AN55"/>
    <mergeCell ref="BJ53:BL53"/>
    <mergeCell ref="BM53:BQ53"/>
    <mergeCell ref="C54:E54"/>
    <mergeCell ref="F54:H54"/>
    <mergeCell ref="I54:K54"/>
    <mergeCell ref="L54:N54"/>
    <mergeCell ref="O54:R54"/>
    <mergeCell ref="S54:U54"/>
    <mergeCell ref="V54:W54"/>
    <mergeCell ref="X54:Z54"/>
    <mergeCell ref="AA54:AC54"/>
    <mergeCell ref="AD54:AH54"/>
    <mergeCell ref="AI54:AL54"/>
    <mergeCell ref="AM54:AN54"/>
    <mergeCell ref="AO54:AU54"/>
    <mergeCell ref="AV54:AX54"/>
    <mergeCell ref="BM55:BQ55"/>
    <mergeCell ref="B56:E56"/>
    <mergeCell ref="F56:H56"/>
    <mergeCell ref="I56:K56"/>
    <mergeCell ref="L56:N56"/>
    <mergeCell ref="O56:R56"/>
    <mergeCell ref="S56:U56"/>
    <mergeCell ref="V56:W56"/>
    <mergeCell ref="X56:Z56"/>
    <mergeCell ref="AA56:AC56"/>
    <mergeCell ref="AD56:AH56"/>
    <mergeCell ref="AI56:AL56"/>
    <mergeCell ref="AM56:AN56"/>
    <mergeCell ref="AO56:AU56"/>
    <mergeCell ref="AV56:AX56"/>
    <mergeCell ref="AY56:BC56"/>
    <mergeCell ref="AO55:AU55"/>
    <mergeCell ref="AV55:AX55"/>
    <mergeCell ref="AY55:BC55"/>
    <mergeCell ref="BD55:BI55"/>
    <mergeCell ref="BJ55:BL55"/>
    <mergeCell ref="AY57:BC57"/>
    <mergeCell ref="BD57:BI57"/>
    <mergeCell ref="BJ57:BL57"/>
    <mergeCell ref="BM57:BQ57"/>
    <mergeCell ref="C58:E58"/>
    <mergeCell ref="F58:H58"/>
    <mergeCell ref="I58:K58"/>
    <mergeCell ref="L58:N58"/>
    <mergeCell ref="O58:R58"/>
    <mergeCell ref="S58:U58"/>
    <mergeCell ref="V58:W58"/>
    <mergeCell ref="X58:Z58"/>
    <mergeCell ref="AA58:AC58"/>
    <mergeCell ref="AD58:AH58"/>
    <mergeCell ref="AI58:AL58"/>
    <mergeCell ref="AM58:AN58"/>
    <mergeCell ref="BD56:BI56"/>
    <mergeCell ref="BJ56:BL56"/>
    <mergeCell ref="BM56:BQ56"/>
    <mergeCell ref="B57:H57"/>
    <mergeCell ref="I57:K57"/>
    <mergeCell ref="L57:N57"/>
    <mergeCell ref="O57:R57"/>
    <mergeCell ref="S57:U57"/>
    <mergeCell ref="V57:W57"/>
    <mergeCell ref="X57:Z57"/>
    <mergeCell ref="AA57:AC57"/>
    <mergeCell ref="AD57:AH57"/>
    <mergeCell ref="AI57:AL57"/>
    <mergeCell ref="AM57:AN57"/>
    <mergeCell ref="AO57:AU57"/>
    <mergeCell ref="AV57:AX57"/>
    <mergeCell ref="BM58:BQ58"/>
    <mergeCell ref="C59:E59"/>
    <mergeCell ref="F59:H59"/>
    <mergeCell ref="I59:K59"/>
    <mergeCell ref="L59:N59"/>
    <mergeCell ref="O59:R59"/>
    <mergeCell ref="S59:U59"/>
    <mergeCell ref="V59:W59"/>
    <mergeCell ref="X59:Z59"/>
    <mergeCell ref="AA59:AC59"/>
    <mergeCell ref="AD59:AH59"/>
    <mergeCell ref="AI59:AL59"/>
    <mergeCell ref="AM59:AN59"/>
    <mergeCell ref="AO59:AU59"/>
    <mergeCell ref="AV59:AX59"/>
    <mergeCell ref="AY59:BC59"/>
    <mergeCell ref="AO58:AU58"/>
    <mergeCell ref="AV58:AX58"/>
    <mergeCell ref="AY58:BC58"/>
    <mergeCell ref="BD58:BI58"/>
    <mergeCell ref="BJ58:BL58"/>
    <mergeCell ref="L61:N61"/>
    <mergeCell ref="O61:R61"/>
    <mergeCell ref="AV60:AX60"/>
    <mergeCell ref="AY60:BC60"/>
    <mergeCell ref="BD60:BI60"/>
    <mergeCell ref="BJ60:BL60"/>
    <mergeCell ref="BM60:BQ60"/>
    <mergeCell ref="BD59:BI59"/>
    <mergeCell ref="BJ59:BL59"/>
    <mergeCell ref="BM59:BQ59"/>
    <mergeCell ref="C60:E60"/>
    <mergeCell ref="F60:H60"/>
    <mergeCell ref="I60:K60"/>
    <mergeCell ref="L60:N60"/>
    <mergeCell ref="O60:R60"/>
    <mergeCell ref="S60:U60"/>
    <mergeCell ref="V60:W60"/>
    <mergeCell ref="X60:Z60"/>
    <mergeCell ref="AA60:AC60"/>
    <mergeCell ref="AD60:AH60"/>
    <mergeCell ref="AI60:AL60"/>
    <mergeCell ref="AM60:AN60"/>
    <mergeCell ref="AO60:AU60"/>
    <mergeCell ref="BD62:BI62"/>
    <mergeCell ref="BJ62:BL62"/>
    <mergeCell ref="BM62:BQ62"/>
    <mergeCell ref="BD61:BI61"/>
    <mergeCell ref="BJ61:BL61"/>
    <mergeCell ref="BM61:BQ61"/>
    <mergeCell ref="B62:E62"/>
    <mergeCell ref="F62:H62"/>
    <mergeCell ref="I62:K62"/>
    <mergeCell ref="L62:N62"/>
    <mergeCell ref="O62:R62"/>
    <mergeCell ref="S62:U62"/>
    <mergeCell ref="V62:W62"/>
    <mergeCell ref="X62:Z62"/>
    <mergeCell ref="AA62:AC62"/>
    <mergeCell ref="AD62:AH62"/>
    <mergeCell ref="AI62:AL62"/>
    <mergeCell ref="AM62:AN62"/>
    <mergeCell ref="AO62:AU62"/>
    <mergeCell ref="AI61:AL61"/>
    <mergeCell ref="AM61:AN61"/>
    <mergeCell ref="AO61:AU61"/>
    <mergeCell ref="AV61:AX61"/>
    <mergeCell ref="AY61:BC61"/>
    <mergeCell ref="S61:U61"/>
    <mergeCell ref="V61:W61"/>
    <mergeCell ref="X61:Z61"/>
    <mergeCell ref="AA61:AC61"/>
    <mergeCell ref="AD61:AH61"/>
    <mergeCell ref="C61:E61"/>
    <mergeCell ref="F61:H61"/>
    <mergeCell ref="I61:K61"/>
    <mergeCell ref="AI63:AL63"/>
    <mergeCell ref="AM63:AN63"/>
    <mergeCell ref="AO63:AU63"/>
    <mergeCell ref="AV63:AX63"/>
    <mergeCell ref="AY63:BC63"/>
    <mergeCell ref="S63:U63"/>
    <mergeCell ref="V63:W63"/>
    <mergeCell ref="X63:Z63"/>
    <mergeCell ref="AA63:AC63"/>
    <mergeCell ref="AD63:AH63"/>
    <mergeCell ref="B63:E63"/>
    <mergeCell ref="F63:H63"/>
    <mergeCell ref="I63:K63"/>
    <mergeCell ref="L63:N63"/>
    <mergeCell ref="O63:R63"/>
    <mergeCell ref="AV62:AX62"/>
    <mergeCell ref="AY62:BC62"/>
    <mergeCell ref="AY64:BC64"/>
    <mergeCell ref="BD64:BI64"/>
    <mergeCell ref="BJ64:BL64"/>
    <mergeCell ref="BM64:BQ64"/>
    <mergeCell ref="C65:E65"/>
    <mergeCell ref="F65:H65"/>
    <mergeCell ref="I65:K65"/>
    <mergeCell ref="L65:N65"/>
    <mergeCell ref="O65:R65"/>
    <mergeCell ref="S65:U65"/>
    <mergeCell ref="V65:W65"/>
    <mergeCell ref="X65:Z65"/>
    <mergeCell ref="AA65:AC65"/>
    <mergeCell ref="AD65:AH65"/>
    <mergeCell ref="AI65:AL65"/>
    <mergeCell ref="AM65:AN65"/>
    <mergeCell ref="BD63:BI63"/>
    <mergeCell ref="BJ63:BL63"/>
    <mergeCell ref="BM63:BQ63"/>
    <mergeCell ref="B64:H64"/>
    <mergeCell ref="I64:K64"/>
    <mergeCell ref="L64:N64"/>
    <mergeCell ref="O64:R64"/>
    <mergeCell ref="S64:U64"/>
    <mergeCell ref="V64:W64"/>
    <mergeCell ref="X64:Z64"/>
    <mergeCell ref="AA64:AC64"/>
    <mergeCell ref="AD64:AH64"/>
    <mergeCell ref="AI64:AL64"/>
    <mergeCell ref="AM64:AN64"/>
    <mergeCell ref="AO64:AU64"/>
    <mergeCell ref="AV64:AX64"/>
    <mergeCell ref="BM65:BQ65"/>
    <mergeCell ref="B66:E66"/>
    <mergeCell ref="F66:H66"/>
    <mergeCell ref="I66:K66"/>
    <mergeCell ref="L66:N66"/>
    <mergeCell ref="O66:R66"/>
    <mergeCell ref="S66:U66"/>
    <mergeCell ref="V66:W66"/>
    <mergeCell ref="X66:Z66"/>
    <mergeCell ref="AA66:AC66"/>
    <mergeCell ref="AD66:AH66"/>
    <mergeCell ref="AI66:AL66"/>
    <mergeCell ref="AM66:AN66"/>
    <mergeCell ref="AO66:AU66"/>
    <mergeCell ref="AV66:AX66"/>
    <mergeCell ref="AY66:BC66"/>
    <mergeCell ref="AO65:AU65"/>
    <mergeCell ref="AV65:AX65"/>
    <mergeCell ref="AY65:BC65"/>
    <mergeCell ref="BD65:BI65"/>
    <mergeCell ref="BJ65:BL65"/>
    <mergeCell ref="BJ67:BL67"/>
    <mergeCell ref="BM67:BQ67"/>
    <mergeCell ref="BD66:BI66"/>
    <mergeCell ref="BJ66:BL66"/>
    <mergeCell ref="BM66:BQ66"/>
    <mergeCell ref="B67:E67"/>
    <mergeCell ref="F67:H67"/>
    <mergeCell ref="I67:K67"/>
    <mergeCell ref="L67:N67"/>
    <mergeCell ref="O67:R67"/>
    <mergeCell ref="S67:U67"/>
    <mergeCell ref="V67:W67"/>
    <mergeCell ref="X67:Z67"/>
    <mergeCell ref="AA67:AC67"/>
    <mergeCell ref="AD67:AH67"/>
    <mergeCell ref="AI67:AL67"/>
    <mergeCell ref="AM67:AN67"/>
    <mergeCell ref="AO67:AU67"/>
    <mergeCell ref="AM68:AN68"/>
    <mergeCell ref="AO68:AU68"/>
    <mergeCell ref="AV68:AX68"/>
    <mergeCell ref="AY68:BC68"/>
    <mergeCell ref="BD68:BI68"/>
    <mergeCell ref="V68:W68"/>
    <mergeCell ref="X68:Z68"/>
    <mergeCell ref="AA68:AC68"/>
    <mergeCell ref="AD68:AH68"/>
    <mergeCell ref="AI68:AL68"/>
    <mergeCell ref="B68:H68"/>
    <mergeCell ref="I68:K68"/>
    <mergeCell ref="L68:N68"/>
    <mergeCell ref="O68:R68"/>
    <mergeCell ref="S68:U68"/>
    <mergeCell ref="AV67:AX67"/>
    <mergeCell ref="AY67:BC67"/>
    <mergeCell ref="BD67:BI67"/>
    <mergeCell ref="AY69:BC69"/>
    <mergeCell ref="BD69:BI69"/>
    <mergeCell ref="BJ69:BL69"/>
    <mergeCell ref="BM69:BQ69"/>
    <mergeCell ref="C70:E70"/>
    <mergeCell ref="F70:H70"/>
    <mergeCell ref="I70:K70"/>
    <mergeCell ref="L70:N70"/>
    <mergeCell ref="O70:R70"/>
    <mergeCell ref="S70:U70"/>
    <mergeCell ref="V70:W70"/>
    <mergeCell ref="X70:Z70"/>
    <mergeCell ref="AA70:AC70"/>
    <mergeCell ref="AD70:AH70"/>
    <mergeCell ref="AI70:AL70"/>
    <mergeCell ref="AM70:AN70"/>
    <mergeCell ref="BJ68:BL68"/>
    <mergeCell ref="BM68:BQ68"/>
    <mergeCell ref="C69:E69"/>
    <mergeCell ref="F69:H69"/>
    <mergeCell ref="I69:K69"/>
    <mergeCell ref="L69:N69"/>
    <mergeCell ref="O69:R69"/>
    <mergeCell ref="S69:U69"/>
    <mergeCell ref="V69:W69"/>
    <mergeCell ref="X69:Z69"/>
    <mergeCell ref="AA69:AC69"/>
    <mergeCell ref="AD69:AH69"/>
    <mergeCell ref="AI69:AL69"/>
    <mergeCell ref="AM69:AN69"/>
    <mergeCell ref="AO69:AU69"/>
    <mergeCell ref="AV69:AX69"/>
    <mergeCell ref="BM70:BQ70"/>
    <mergeCell ref="C71:E71"/>
    <mergeCell ref="F71:H71"/>
    <mergeCell ref="I71:K71"/>
    <mergeCell ref="L71:N71"/>
    <mergeCell ref="O71:R71"/>
    <mergeCell ref="S71:U71"/>
    <mergeCell ref="V71:W71"/>
    <mergeCell ref="X71:Z71"/>
    <mergeCell ref="AA71:AC71"/>
    <mergeCell ref="AD71:AH71"/>
    <mergeCell ref="AI71:AL71"/>
    <mergeCell ref="AM71:AN71"/>
    <mergeCell ref="AO71:AU71"/>
    <mergeCell ref="AV71:AX71"/>
    <mergeCell ref="AY71:BC71"/>
    <mergeCell ref="AO70:AU70"/>
    <mergeCell ref="AV70:AX70"/>
    <mergeCell ref="AY70:BC70"/>
    <mergeCell ref="BD70:BI70"/>
    <mergeCell ref="BJ70:BL70"/>
    <mergeCell ref="L73:N73"/>
    <mergeCell ref="O73:R73"/>
    <mergeCell ref="AV72:AX72"/>
    <mergeCell ref="AY72:BC72"/>
    <mergeCell ref="BD72:BI72"/>
    <mergeCell ref="BJ72:BL72"/>
    <mergeCell ref="BM72:BQ72"/>
    <mergeCell ref="BD71:BI71"/>
    <mergeCell ref="BJ71:BL71"/>
    <mergeCell ref="BM71:BQ71"/>
    <mergeCell ref="C72:E72"/>
    <mergeCell ref="F72:H72"/>
    <mergeCell ref="I72:K72"/>
    <mergeCell ref="L72:N72"/>
    <mergeCell ref="O72:R72"/>
    <mergeCell ref="S72:U72"/>
    <mergeCell ref="V72:W72"/>
    <mergeCell ref="X72:Z72"/>
    <mergeCell ref="AA72:AC72"/>
    <mergeCell ref="AD72:AH72"/>
    <mergeCell ref="AI72:AL72"/>
    <mergeCell ref="AM72:AN72"/>
    <mergeCell ref="AO72:AU72"/>
    <mergeCell ref="BD74:BI74"/>
    <mergeCell ref="BJ74:BL74"/>
    <mergeCell ref="BM74:BQ74"/>
    <mergeCell ref="BD73:BI73"/>
    <mergeCell ref="BJ73:BL73"/>
    <mergeCell ref="BM73:BQ73"/>
    <mergeCell ref="B74:E74"/>
    <mergeCell ref="F74:H74"/>
    <mergeCell ref="I74:K74"/>
    <mergeCell ref="L74:N74"/>
    <mergeCell ref="O74:R74"/>
    <mergeCell ref="S74:U74"/>
    <mergeCell ref="V74:W74"/>
    <mergeCell ref="X74:Z74"/>
    <mergeCell ref="AA74:AC74"/>
    <mergeCell ref="AD74:AH74"/>
    <mergeCell ref="AI74:AL74"/>
    <mergeCell ref="AM74:AN74"/>
    <mergeCell ref="AO74:AU74"/>
    <mergeCell ref="AI73:AL73"/>
    <mergeCell ref="AM73:AN73"/>
    <mergeCell ref="AO73:AU73"/>
    <mergeCell ref="AV73:AX73"/>
    <mergeCell ref="AY73:BC73"/>
    <mergeCell ref="S73:U73"/>
    <mergeCell ref="V73:W73"/>
    <mergeCell ref="X73:Z73"/>
    <mergeCell ref="AA73:AC73"/>
    <mergeCell ref="AD73:AH73"/>
    <mergeCell ref="C73:E73"/>
    <mergeCell ref="F73:H73"/>
    <mergeCell ref="I73:K73"/>
    <mergeCell ref="AI75:AL75"/>
    <mergeCell ref="AM75:AN75"/>
    <mergeCell ref="AO75:AU75"/>
    <mergeCell ref="AV75:AX75"/>
    <mergeCell ref="AY75:BC75"/>
    <mergeCell ref="S75:U75"/>
    <mergeCell ref="V75:W75"/>
    <mergeCell ref="X75:Z75"/>
    <mergeCell ref="AA75:AC75"/>
    <mergeCell ref="AD75:AH75"/>
    <mergeCell ref="B75:E75"/>
    <mergeCell ref="F75:H75"/>
    <mergeCell ref="I75:K75"/>
    <mergeCell ref="L75:N75"/>
    <mergeCell ref="O75:R75"/>
    <mergeCell ref="AV74:AX74"/>
    <mergeCell ref="AY74:BC74"/>
    <mergeCell ref="AY76:BC76"/>
    <mergeCell ref="BD76:BI76"/>
    <mergeCell ref="BJ76:BL76"/>
    <mergeCell ref="BM76:BQ76"/>
    <mergeCell ref="C77:E77"/>
    <mergeCell ref="F77:H77"/>
    <mergeCell ref="I77:K77"/>
    <mergeCell ref="L77:N77"/>
    <mergeCell ref="O77:R77"/>
    <mergeCell ref="S77:U77"/>
    <mergeCell ref="V77:W77"/>
    <mergeCell ref="X77:Z77"/>
    <mergeCell ref="AA77:AC77"/>
    <mergeCell ref="AD77:AH77"/>
    <mergeCell ref="AI77:AL77"/>
    <mergeCell ref="AM77:AN77"/>
    <mergeCell ref="BD75:BI75"/>
    <mergeCell ref="BJ75:BL75"/>
    <mergeCell ref="BM75:BQ75"/>
    <mergeCell ref="B76:H76"/>
    <mergeCell ref="I76:K76"/>
    <mergeCell ref="L76:N76"/>
    <mergeCell ref="O76:R76"/>
    <mergeCell ref="S76:U76"/>
    <mergeCell ref="V76:W76"/>
    <mergeCell ref="X76:Z76"/>
    <mergeCell ref="AA76:AC76"/>
    <mergeCell ref="AD76:AH76"/>
    <mergeCell ref="AI76:AL76"/>
    <mergeCell ref="AM76:AN76"/>
    <mergeCell ref="AO76:AU76"/>
    <mergeCell ref="AV76:AX76"/>
    <mergeCell ref="BM77:BQ77"/>
    <mergeCell ref="C78:E78"/>
    <mergeCell ref="F78:H78"/>
    <mergeCell ref="I78:K78"/>
    <mergeCell ref="L78:N78"/>
    <mergeCell ref="O78:R78"/>
    <mergeCell ref="S78:U78"/>
    <mergeCell ref="V78:W78"/>
    <mergeCell ref="X78:Z78"/>
    <mergeCell ref="AA78:AC78"/>
    <mergeCell ref="AD78:AH78"/>
    <mergeCell ref="AI78:AL78"/>
    <mergeCell ref="AM78:AN78"/>
    <mergeCell ref="AO78:AU78"/>
    <mergeCell ref="AV78:AX78"/>
    <mergeCell ref="AY78:BC78"/>
    <mergeCell ref="AO77:AU77"/>
    <mergeCell ref="AV77:AX77"/>
    <mergeCell ref="AY77:BC77"/>
    <mergeCell ref="BD77:BI77"/>
    <mergeCell ref="BJ77:BL77"/>
    <mergeCell ref="F80:H80"/>
    <mergeCell ref="I80:K80"/>
    <mergeCell ref="L80:N80"/>
    <mergeCell ref="O80:R80"/>
    <mergeCell ref="AV79:AX79"/>
    <mergeCell ref="AY79:BC79"/>
    <mergeCell ref="BD79:BI79"/>
    <mergeCell ref="BJ79:BL79"/>
    <mergeCell ref="BM79:BQ79"/>
    <mergeCell ref="BD78:BI78"/>
    <mergeCell ref="BJ78:BL78"/>
    <mergeCell ref="BM78:BQ78"/>
    <mergeCell ref="C79:E79"/>
    <mergeCell ref="F79:H79"/>
    <mergeCell ref="I79:K79"/>
    <mergeCell ref="L79:N79"/>
    <mergeCell ref="O79:R79"/>
    <mergeCell ref="S79:U79"/>
    <mergeCell ref="V79:W79"/>
    <mergeCell ref="X79:Z79"/>
    <mergeCell ref="AA79:AC79"/>
    <mergeCell ref="AD79:AH79"/>
    <mergeCell ref="AI79:AL79"/>
    <mergeCell ref="AM79:AN79"/>
    <mergeCell ref="AO79:AU79"/>
    <mergeCell ref="AV81:AX81"/>
    <mergeCell ref="AY81:BC81"/>
    <mergeCell ref="BD81:BI81"/>
    <mergeCell ref="BJ81:BL81"/>
    <mergeCell ref="BM81:BQ81"/>
    <mergeCell ref="BD80:BI80"/>
    <mergeCell ref="BJ80:BL80"/>
    <mergeCell ref="BM80:BQ80"/>
    <mergeCell ref="C81:E81"/>
    <mergeCell ref="F81:H81"/>
    <mergeCell ref="I81:K81"/>
    <mergeCell ref="L81:N81"/>
    <mergeCell ref="O81:R81"/>
    <mergeCell ref="S81:U81"/>
    <mergeCell ref="V81:W81"/>
    <mergeCell ref="X81:Z81"/>
    <mergeCell ref="AA81:AC81"/>
    <mergeCell ref="AD81:AH81"/>
    <mergeCell ref="AI81:AL81"/>
    <mergeCell ref="AM81:AN81"/>
    <mergeCell ref="AO81:AU81"/>
    <mergeCell ref="AI80:AL80"/>
    <mergeCell ref="AM80:AN80"/>
    <mergeCell ref="AO80:AU80"/>
    <mergeCell ref="AV80:AX80"/>
    <mergeCell ref="AY80:BC80"/>
    <mergeCell ref="S80:U80"/>
    <mergeCell ref="V80:W80"/>
    <mergeCell ref="X80:Z80"/>
    <mergeCell ref="AA80:AC80"/>
    <mergeCell ref="AD80:AH80"/>
    <mergeCell ref="C80:E80"/>
    <mergeCell ref="BD82:BI82"/>
    <mergeCell ref="BJ82:BL82"/>
    <mergeCell ref="BM82:BQ82"/>
    <mergeCell ref="C83:E83"/>
    <mergeCell ref="F83:H83"/>
    <mergeCell ref="I83:K83"/>
    <mergeCell ref="L83:N83"/>
    <mergeCell ref="O83:R83"/>
    <mergeCell ref="S83:U83"/>
    <mergeCell ref="V83:W83"/>
    <mergeCell ref="X83:Z83"/>
    <mergeCell ref="AA83:AC83"/>
    <mergeCell ref="AD83:AH83"/>
    <mergeCell ref="AI83:AL83"/>
    <mergeCell ref="AM83:AN83"/>
    <mergeCell ref="AO83:AU83"/>
    <mergeCell ref="AI82:AL82"/>
    <mergeCell ref="AM82:AN82"/>
    <mergeCell ref="AO82:AU82"/>
    <mergeCell ref="AV82:AX82"/>
    <mergeCell ref="AY82:BC82"/>
    <mergeCell ref="S82:U82"/>
    <mergeCell ref="V82:W82"/>
    <mergeCell ref="X82:Z82"/>
    <mergeCell ref="AA82:AC82"/>
    <mergeCell ref="AD82:AH82"/>
    <mergeCell ref="C82:E82"/>
    <mergeCell ref="F82:H82"/>
    <mergeCell ref="I82:K82"/>
    <mergeCell ref="L82:N82"/>
    <mergeCell ref="O82:R82"/>
    <mergeCell ref="AV84:AX84"/>
    <mergeCell ref="AY84:BC84"/>
    <mergeCell ref="S84:U84"/>
    <mergeCell ref="V84:W84"/>
    <mergeCell ref="X84:Z84"/>
    <mergeCell ref="AA84:AC84"/>
    <mergeCell ref="AD84:AH84"/>
    <mergeCell ref="C84:E84"/>
    <mergeCell ref="F84:H84"/>
    <mergeCell ref="I84:K84"/>
    <mergeCell ref="L84:N84"/>
    <mergeCell ref="O84:R84"/>
    <mergeCell ref="AV83:AX83"/>
    <mergeCell ref="AY83:BC83"/>
    <mergeCell ref="BD83:BI83"/>
    <mergeCell ref="BJ83:BL83"/>
    <mergeCell ref="BM83:BQ83"/>
    <mergeCell ref="X86:Z86"/>
    <mergeCell ref="AA86:AC86"/>
    <mergeCell ref="AD86:AH86"/>
    <mergeCell ref="C86:E86"/>
    <mergeCell ref="F86:H86"/>
    <mergeCell ref="I86:K86"/>
    <mergeCell ref="L86:N86"/>
    <mergeCell ref="O86:R86"/>
    <mergeCell ref="AV85:AX85"/>
    <mergeCell ref="AY85:BC85"/>
    <mergeCell ref="BD85:BI85"/>
    <mergeCell ref="BJ85:BL85"/>
    <mergeCell ref="BM85:BQ85"/>
    <mergeCell ref="BD84:BI84"/>
    <mergeCell ref="BJ84:BL84"/>
    <mergeCell ref="BM84:BQ84"/>
    <mergeCell ref="C85:E85"/>
    <mergeCell ref="F85:H85"/>
    <mergeCell ref="I85:K85"/>
    <mergeCell ref="L85:N85"/>
    <mergeCell ref="O85:R85"/>
    <mergeCell ref="S85:U85"/>
    <mergeCell ref="V85:W85"/>
    <mergeCell ref="X85:Z85"/>
    <mergeCell ref="AA85:AC85"/>
    <mergeCell ref="AD85:AH85"/>
    <mergeCell ref="AI85:AL85"/>
    <mergeCell ref="AM85:AN85"/>
    <mergeCell ref="AO85:AU85"/>
    <mergeCell ref="AI84:AL84"/>
    <mergeCell ref="AM84:AN84"/>
    <mergeCell ref="AO84:AU84"/>
    <mergeCell ref="F88:H88"/>
    <mergeCell ref="I88:K88"/>
    <mergeCell ref="L88:N88"/>
    <mergeCell ref="O88:R88"/>
    <mergeCell ref="AV87:AX87"/>
    <mergeCell ref="AY87:BC87"/>
    <mergeCell ref="BD87:BI87"/>
    <mergeCell ref="BJ87:BL87"/>
    <mergeCell ref="BM87:BQ87"/>
    <mergeCell ref="BD86:BI86"/>
    <mergeCell ref="BJ86:BL86"/>
    <mergeCell ref="BM86:BQ86"/>
    <mergeCell ref="C87:E87"/>
    <mergeCell ref="F87:H87"/>
    <mergeCell ref="I87:K87"/>
    <mergeCell ref="L87:N87"/>
    <mergeCell ref="O87:R87"/>
    <mergeCell ref="S87:U87"/>
    <mergeCell ref="V87:W87"/>
    <mergeCell ref="X87:Z87"/>
    <mergeCell ref="AA87:AC87"/>
    <mergeCell ref="AD87:AH87"/>
    <mergeCell ref="AI87:AL87"/>
    <mergeCell ref="AM87:AN87"/>
    <mergeCell ref="AO87:AU87"/>
    <mergeCell ref="AI86:AL86"/>
    <mergeCell ref="AM86:AN86"/>
    <mergeCell ref="AO86:AU86"/>
    <mergeCell ref="AV86:AX86"/>
    <mergeCell ref="AY86:BC86"/>
    <mergeCell ref="S86:U86"/>
    <mergeCell ref="V86:W86"/>
    <mergeCell ref="AV89:AX89"/>
    <mergeCell ref="AY89:BC89"/>
    <mergeCell ref="BD89:BI89"/>
    <mergeCell ref="BJ89:BL89"/>
    <mergeCell ref="BM89:BQ89"/>
    <mergeCell ref="BD88:BI88"/>
    <mergeCell ref="BJ88:BL88"/>
    <mergeCell ref="BM88:BQ88"/>
    <mergeCell ref="B89:E89"/>
    <mergeCell ref="F89:H89"/>
    <mergeCell ref="I89:K89"/>
    <mergeCell ref="L89:N89"/>
    <mergeCell ref="O89:R89"/>
    <mergeCell ref="S89:U89"/>
    <mergeCell ref="V89:W89"/>
    <mergeCell ref="X89:Z89"/>
    <mergeCell ref="AA89:AC89"/>
    <mergeCell ref="AD89:AH89"/>
    <mergeCell ref="AI89:AL89"/>
    <mergeCell ref="AM89:AN89"/>
    <mergeCell ref="AO89:AU89"/>
    <mergeCell ref="AI88:AL88"/>
    <mergeCell ref="AM88:AN88"/>
    <mergeCell ref="AO88:AU88"/>
    <mergeCell ref="AV88:AX88"/>
    <mergeCell ref="AY88:BC88"/>
    <mergeCell ref="S88:U88"/>
    <mergeCell ref="V88:W88"/>
    <mergeCell ref="X88:Z88"/>
    <mergeCell ref="AA88:AC88"/>
    <mergeCell ref="AD88:AH88"/>
    <mergeCell ref="B88:E88"/>
  </mergeCells>
  <pageMargins left="0.196850393700787" right="0.196850393700787" top="0.196850393700787" bottom="0.35141338582677201" header="0.196850393700787" footer="0.196850393700787"/>
  <pageSetup paperSize="9" orientation="landscape" horizontalDpi="300" verticalDpi="300"/>
  <headerFooter alignWithMargins="0">
    <oddFooter>&amp;R&amp;"Arial,Bold"&amp;7&amp;P/&amp;N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30efb-2acb-4ce7-b098-e7ca05c87997">
      <Terms xmlns="http://schemas.microsoft.com/office/infopath/2007/PartnerControls"/>
    </lcf76f155ced4ddcb4097134ff3c332f>
    <TaxCatchAll xmlns="383cf32f-5aaf-4f4a-a85b-305728237a7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E3640CBF409449884A0EC59C28925D" ma:contentTypeVersion="12" ma:contentTypeDescription="Crie um novo documento." ma:contentTypeScope="" ma:versionID="9729c9bb2c1ce796c07ec8d044ee796a">
  <xsd:schema xmlns:xsd="http://www.w3.org/2001/XMLSchema" xmlns:xs="http://www.w3.org/2001/XMLSchema" xmlns:p="http://schemas.microsoft.com/office/2006/metadata/properties" xmlns:ns2="92030efb-2acb-4ce7-b098-e7ca05c87997" xmlns:ns3="383cf32f-5aaf-4f4a-a85b-305728237a77" targetNamespace="http://schemas.microsoft.com/office/2006/metadata/properties" ma:root="true" ma:fieldsID="63bea127095fe9adfbfe932a82032769" ns2:_="" ns3:_="">
    <xsd:import namespace="92030efb-2acb-4ce7-b098-e7ca05c87997"/>
    <xsd:import namespace="383cf32f-5aaf-4f4a-a85b-305728237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30efb-2acb-4ce7-b098-e7ca05c879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7f9f2-6d59-4d0f-811f-0f19f1663c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cf32f-5aaf-4f4a-a85b-305728237a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ec9149c-35f5-4652-a4b1-615eea240c47}" ma:internalName="TaxCatchAll" ma:showField="CatchAllData" ma:web="383cf32f-5aaf-4f4a-a85b-305728237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E8EC0A-EECA-4DEF-8D2E-99CE9113CE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EB585A-8D59-4D9A-B0B9-E63D454BC14D}">
  <ds:schemaRefs>
    <ds:schemaRef ds:uri="http://schemas.microsoft.com/office/2006/metadata/properties"/>
    <ds:schemaRef ds:uri="http://schemas.microsoft.com/office/infopath/2007/PartnerControls"/>
    <ds:schemaRef ds:uri="92030efb-2acb-4ce7-b098-e7ca05c87997"/>
    <ds:schemaRef ds:uri="383cf32f-5aaf-4f4a-a85b-305728237a77"/>
  </ds:schemaRefs>
</ds:datastoreItem>
</file>

<file path=customXml/itemProps3.xml><?xml version="1.0" encoding="utf-8"?>
<ds:datastoreItem xmlns:ds="http://schemas.openxmlformats.org/officeDocument/2006/customXml" ds:itemID="{7CE0502F-41C2-49DB-BB72-BB43BBD79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30efb-2acb-4ce7-b098-e7ca05c87997"/>
    <ds:schemaRef ds:uri="383cf32f-5aaf-4f4a-a85b-305728237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Sheet1!Titulos_de_impressao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Tengan de Santana</cp:lastModifiedBy>
  <dcterms:modified xsi:type="dcterms:W3CDTF">2025-12-03T16:50:29Z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0x010100E8E3640CBF409449884A0EC59C28925D</vt:lpwstr>
  </property>
  <property fmtid="{D5CDD505-2E9C-101B-9397-08002B2CF9AE}" pid="3" name="Order">
    <vt:r8>90271800</vt:r8>
  </property>
  <property fmtid="{D5CDD505-2E9C-101B-9397-08002B2CF9AE}" pid="4" name="MediaServiceImageTags">
    <vt:lpwstr/>
  </property>
  <property fmtid="{D5CDD505-2E9C-101B-9397-08002B2CF9AE}" pid="5" name="MSIP_Label_258f7c65-231b-45b4-bbde-7c1e09661ad6_Enabled">
    <vt:lpwstr>true</vt:lpwstr>
  </property>
  <property fmtid="{D5CDD505-2E9C-101B-9397-08002B2CF9AE}" pid="6" name="MSIP_Label_258f7c65-231b-45b4-bbde-7c1e09661ad6_SetDate">
    <vt:lpwstr>2025-12-03T14:01:55Z</vt:lpwstr>
  </property>
  <property fmtid="{D5CDD505-2E9C-101B-9397-08002B2CF9AE}" pid="7" name="MSIP_Label_258f7c65-231b-45b4-bbde-7c1e09661ad6_Method">
    <vt:lpwstr>Privileged</vt:lpwstr>
  </property>
  <property fmtid="{D5CDD505-2E9C-101B-9397-08002B2CF9AE}" pid="8" name="MSIP_Label_258f7c65-231b-45b4-bbde-7c1e09661ad6_Name">
    <vt:lpwstr>Uso Interno</vt:lpwstr>
  </property>
  <property fmtid="{D5CDD505-2E9C-101B-9397-08002B2CF9AE}" pid="9" name="MSIP_Label_258f7c65-231b-45b4-bbde-7c1e09661ad6_SiteId">
    <vt:lpwstr>1216a3c3-d062-4ac0-8268-9b9986a912b2</vt:lpwstr>
  </property>
  <property fmtid="{D5CDD505-2E9C-101B-9397-08002B2CF9AE}" pid="10" name="MSIP_Label_258f7c65-231b-45b4-bbde-7c1e09661ad6_ActionId">
    <vt:lpwstr>178da849-5482-464a-bfee-0a8f2096d06e</vt:lpwstr>
  </property>
  <property fmtid="{D5CDD505-2E9C-101B-9397-08002B2CF9AE}" pid="11" name="MSIP_Label_258f7c65-231b-45b4-bbde-7c1e09661ad6_ContentBits">
    <vt:lpwstr>0</vt:lpwstr>
  </property>
  <property fmtid="{D5CDD505-2E9C-101B-9397-08002B2CF9AE}" pid="12" name="MSIP_Label_258f7c65-231b-45b4-bbde-7c1e09661ad6_Tag">
    <vt:lpwstr>10, 0, 1, 1</vt:lpwstr>
  </property>
</Properties>
</file>